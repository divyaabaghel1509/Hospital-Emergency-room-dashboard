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EW\OneDrive\Desktop\"/>
    </mc:Choice>
  </mc:AlternateContent>
  <xr:revisionPtr revIDLastSave="0" documentId="13_ncr:1_{6E37E177-8A06-4CE4-9248-8CC9A36795AC}" xr6:coauthVersionLast="47" xr6:coauthVersionMax="47" xr10:uidLastSave="{00000000-0000-0000-0000-000000000000}"/>
  <bookViews>
    <workbookView xWindow="-108" yWindow="-108" windowWidth="23256" windowHeight="12456" activeTab="1" xr2:uid="{FDBD7BE5-264B-4D37-B587-90EEBC0283A6}"/>
  </bookViews>
  <sheets>
    <sheet name="Pivot Table" sheetId="1" r:id="rId1"/>
    <sheet name="Dashboard" sheetId="4" r:id="rId2"/>
  </sheets>
  <definedNames>
    <definedName name="Slicer_Date_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7df44db-404d-44c1-b2c8-9781a60bc4c1" name="Hospital Emergency Room Data" connection="Query - Hospital Emergency Room Data"/>
          <x15:modelTable id="Calender Table_dc83f0f0-c2e1-4589-a686-147c2b432a62"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Patient Admission Date" columnId="Patient Admission Date">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calculatedTimeColumn columnName="Patient Admission Date (Day Index)" columnId="Patient Admission Date (Day Index)" contentType="daysindex" isSelected="1"/>
                <x16:calculatedTimeColumn columnName="Patient Admission Date (Day)" columnId="Patient Admission Date (Day)" contentType="days" isSelected="1"/>
              </x16:modelTimeGrouping>
            </x16:modelTimeGroupings>
          </ext>
        </x15:extLst>
      </x15:dataModel>
    </ext>
  </extLst>
</workbook>
</file>

<file path=xl/calcChain.xml><?xml version="1.0" encoding="utf-8"?>
<calcChain xmlns="http://schemas.openxmlformats.org/spreadsheetml/2006/main">
  <c r="D47" i="1" l="1"/>
  <c r="C47" i="1"/>
  <c r="B47" i="1"/>
  <c r="D46" i="1"/>
  <c r="C46" i="1"/>
  <c r="B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ED7B3-0C01-4863-A5A9-69B942DE488A}" name="Query - Calender Table" description="Connection to the 'Calender Table' query in the workbook." type="100" refreshedVersion="8" minRefreshableVersion="5">
    <extLst>
      <ext xmlns:x15="http://schemas.microsoft.com/office/spreadsheetml/2010/11/main" uri="{DE250136-89BD-433C-8126-D09CA5730AF9}">
        <x15:connection id="054c0467-f834-4711-9432-4411b0409306"/>
      </ext>
    </extLst>
  </connection>
  <connection id="2" xr16:uid="{712744F0-6061-4887-88EE-DCE1D34C217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341c982-ddb8-4832-b1b8-04b8ca5f435a"/>
      </ext>
    </extLst>
  </connection>
  <connection id="3" xr16:uid="{A78D1D63-0066-4751-98C2-537987DDE7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<sst xmlns="http://schemas.openxmlformats.org/spreadsheetml/2006/main" count="144" uniqueCount="68">
  <si>
    <t>Row Labels</t>
  </si>
  <si>
    <t>Grand Total</t>
  </si>
  <si>
    <t>Count of Patient Id</t>
  </si>
  <si>
    <t>Distinct Count of Patient Id</t>
  </si>
  <si>
    <t>Average of Patient Waittime</t>
  </si>
  <si>
    <t>Average of Patient Satisfaction Score</t>
  </si>
  <si>
    <t xml:space="preserve">        </t>
  </si>
  <si>
    <t>Admitted</t>
  </si>
  <si>
    <t>Not Admitted</t>
  </si>
  <si>
    <t>Count of Patient Admission Flag</t>
  </si>
  <si>
    <t>Count of Patient Admission Flag2</t>
  </si>
  <si>
    <t>Admission Status</t>
  </si>
  <si>
    <t>No. of Patients</t>
  </si>
  <si>
    <t>% Status</t>
  </si>
  <si>
    <t>0-10</t>
  </si>
  <si>
    <t>10-20</t>
  </si>
  <si>
    <t>20-30</t>
  </si>
  <si>
    <t>30-40</t>
  </si>
  <si>
    <t>40-50</t>
  </si>
  <si>
    <t>50-60</t>
  </si>
  <si>
    <t>60-70</t>
  </si>
  <si>
    <t>70-80</t>
  </si>
  <si>
    <t>Count of Patient Age Group Wise</t>
  </si>
  <si>
    <t>On 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</si>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</sst>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1"/>
      <name val="Calibri"/>
      <family val="2"/>
      <scheme val="minor"/>
    </font>
    <font>
      <b/>
      <sz val="12"/>
      <color theme="2"/>
      <name val="Calibri"/>
      <family val="2"/>
      <scheme val="minor"/>
    </font>
    <font>
      <b/>
      <sz val="12"/>
      <color theme="1"/>
      <name val="Calibri"/>
      <family val="2"/>
      <scheme val="minor"/>
    </font>
    <font>
      <b/>
      <sz val="12"/>
      <color theme="9" tint="-0.499984740745262"/>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9"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0" fontId="0" fillId="2" borderId="0" xfId="0" applyFill="1"/>
    <xf numFmtId="0" fontId="2" fillId="4" borderId="0" xfId="0" applyFont="1" applyFill="1" applyAlignment="1">
      <alignment horizontal="center" vertical="center"/>
    </xf>
    <xf numFmtId="0" fontId="3" fillId="4" borderId="0" xfId="0" applyFont="1" applyFill="1" applyAlignment="1">
      <alignment horizontal="center" vertical="center"/>
    </xf>
    <xf numFmtId="0" fontId="4" fillId="3" borderId="0" xfId="0" applyFont="1" applyFill="1" applyAlignment="1">
      <alignment horizontal="center" vertical="center"/>
    </xf>
    <xf numFmtId="164" fontId="4" fillId="3" borderId="0" xfId="1" applyNumberFormat="1" applyFont="1" applyFill="1" applyAlignment="1">
      <alignment horizontal="center" vertical="center"/>
    </xf>
  </cellXfs>
  <cellStyles count="2">
    <cellStyle name="Normal" xfId="0" builtinId="0"/>
    <cellStyle name="Percent" xfId="1" builtinId="5"/>
  </cellStyles>
  <dxfs count="18">
    <dxf>
      <numFmt numFmtId="2" formatCode="0.00"/>
    </dxf>
    <dxf>
      <numFmt numFmtId="2" formatCode="0.00"/>
    </dxf>
    <dxf>
      <numFmt numFmtId="2" formatCode="0.00"/>
    </dxf>
    <dxf>
      <numFmt numFmtId="165" formatCode="0.0000000"/>
    </dxf>
    <dxf>
      <numFmt numFmtId="164" formatCode="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65" formatCode="0.0000000"/>
    </dxf>
    <dxf>
      <numFmt numFmtId="1" formatCode="0"/>
    </dxf>
    <dxf>
      <numFmt numFmtId="2" formatCode="0.00"/>
    </dxf>
    <dxf>
      <numFmt numFmtId="2" formatCode="0.00"/>
    </dxf>
    <dxf>
      <font>
        <b/>
        <color theme="1"/>
      </font>
      <border>
        <bottom style="thin">
          <color theme="5"/>
        </bottom>
        <vertical/>
        <horizontal/>
      </border>
    </dxf>
    <dxf>
      <font>
        <b/>
        <i val="0"/>
        <sz val="10"/>
        <color theme="4" tint="0.39988402966399123"/>
        <name val="Calibri Light"/>
        <family val="2"/>
        <scheme val="major"/>
      </font>
      <fill>
        <patternFill>
          <fgColor theme="4" tint="0.39994506668294322"/>
          <bgColor theme="0"/>
        </patternFill>
      </fill>
      <border diagonalUp="0" diagonalDown="0">
        <left/>
        <right/>
        <top/>
        <bottom/>
        <vertical/>
        <horizontal/>
      </border>
    </dxf>
  </dxfs>
  <tableStyles count="2" defaultTableStyle="TableStyleMedium2" defaultPivotStyle="PivotStyleLight16">
    <tableStyle name="Invisible" pivot="0" table="0" count="0" xr9:uid="{74905BAA-C085-4072-BD84-B361F37F60B3}"/>
    <tableStyle name="my style" pivot="0" table="0" count="10" xr9:uid="{509E8895-F3ED-4149-AD3E-ACFCAE868BF7}">
      <tableStyleElement type="wholeTable" dxfId="17"/>
      <tableStyleElement type="headerRow" dxfId="16"/>
    </tableStyle>
  </tableStyles>
  <extLst>
    <ext xmlns:x14="http://schemas.microsoft.com/office/spreadsheetml/2009/9/main" uri="{46F421CA-312F-682f-3DD2-61675219B42D}">
      <x14:dxfs count="8">
        <dxf>
          <font>
            <color theme="3" tint="-0.24994659260841701"/>
          </font>
          <fill>
            <patternFill patternType="solid">
              <fgColor theme="4" tint="0.59996337778862885"/>
              <bgColor auto="1"/>
            </patternFill>
          </fill>
          <border>
            <left style="thin">
              <color rgb="FF999999"/>
            </left>
            <right style="thin">
              <color rgb="FF999999"/>
            </right>
            <top style="thin">
              <color rgb="FF999999"/>
            </top>
            <bottom style="thin">
              <color rgb="FF999999"/>
            </bottom>
            <vertical/>
            <horizontal/>
          </border>
        </dxf>
        <dxf>
          <font>
            <b val="0"/>
            <i val="0"/>
            <sz val="8"/>
            <color theme="4" tint="-0.24994659260841701"/>
            <name val="Calibri Light"/>
            <family val="2"/>
            <scheme val="major"/>
          </font>
          <fill>
            <patternFill patternType="solid">
              <fgColor theme="4" tint="0.39994506668294322"/>
              <bgColor auto="1"/>
            </patternFill>
          </fill>
          <border>
            <left style="thin">
              <color rgb="FF999999"/>
            </left>
            <right style="thin">
              <color rgb="FF999999"/>
            </right>
            <top style="thin">
              <color rgb="FF999999"/>
            </top>
            <bottom style="thin">
              <color rgb="FF999999"/>
            </bottom>
            <vertical/>
            <horizontal/>
          </border>
        </dxf>
        <dxf>
          <font>
            <color theme="3" tint="-0.24994659260841701"/>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b val="0"/>
            <i val="0"/>
            <sz val="8"/>
            <color theme="4" tint="-0.24994659260841701"/>
            <name val="Calibri Light"/>
            <family val="2"/>
            <scheme val="major"/>
          </font>
          <fill>
            <patternFill patternType="solid">
              <fgColor theme="3" tint="0.59996337778862885"/>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24994659260841701"/>
              <bgColor theme="5" tint="0.79992065187536243"/>
            </patternFill>
          </fill>
          <border>
            <left style="thin">
              <color rgb="FFCCCCCC"/>
            </left>
            <right style="thin">
              <color rgb="FFCCCCCC"/>
            </right>
            <top style="thin">
              <color rgb="FFCCCCCC"/>
            </top>
            <bottom style="thin">
              <color rgb="FFCCCCCC"/>
            </bottom>
            <vertical/>
            <horizontal/>
          </border>
        </dxf>
        <dxf>
          <font>
            <color theme="4" tint="0.39994506668294322"/>
          </font>
          <fill>
            <patternFill patternType="solid">
              <fgColor theme="4" tint="0.79998168889431442"/>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59996337778862885"/>
              <bgColor rgb="FFFFFFFF"/>
            </patternFill>
          </fill>
          <border>
            <left style="thin">
              <color rgb="FFE0E0E0"/>
            </left>
            <right style="thin">
              <color rgb="FFE0E0E0"/>
            </right>
            <top style="thin">
              <color rgb="FFE0E0E0"/>
            </top>
            <bottom style="thin">
              <color rgb="FFE0E0E0"/>
            </bottom>
            <vertical/>
            <horizontal/>
          </border>
        </dxf>
        <dxf>
          <font>
            <color theme="4" tint="0.39994506668294322"/>
          </font>
          <fill>
            <patternFill patternType="solid">
              <fgColor theme="4" tint="0.39994506668294322"/>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0"/>
  </c:pivotSource>
  <c:chart>
    <c:autoTitleDeleted val="0"/>
    <c:pivotFmts>
      <c:pivotFmt>
        <c:idx val="0"/>
        <c:spPr>
          <a:solidFill>
            <a:schemeClr val="accent1"/>
          </a:solidFill>
          <a:ln w="34925">
            <a:solidFill>
              <a:schemeClr val="accent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34925">
            <a:solidFill>
              <a:schemeClr val="accent1"/>
            </a:solid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695775-CD3A-4B32-8BDB-4A442601379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w="34925">
            <a:solidFill>
              <a:schemeClr val="accent1"/>
            </a:solid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202B2C-6655-4733-A88D-37957E61E5B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1214053850745321E-2"/>
          <c:y val="0.12438775731545954"/>
          <c:w val="0.45864063867016619"/>
          <c:h val="0.53240740740740744"/>
        </c:manualLayout>
      </c:layout>
      <c:barChart>
        <c:barDir val="bar"/>
        <c:grouping val="clustered"/>
        <c:varyColors val="0"/>
        <c:ser>
          <c:idx val="0"/>
          <c:order val="0"/>
          <c:tx>
            <c:strRef>
              <c:f>'Pivot Table'!$D$39:$D$40</c:f>
              <c:strCache>
                <c:ptCount val="1"/>
                <c:pt idx="0">
                  <c:v>Count of Patient Admission Flag</c:v>
                </c:pt>
              </c:strCache>
            </c:strRef>
          </c:tx>
          <c:spPr>
            <a:solidFill>
              <a:schemeClr val="accent1"/>
            </a:solidFill>
            <a:ln w="34925">
              <a:solidFill>
                <a:schemeClr val="accent1"/>
              </a:solidFill>
            </a:ln>
            <a:effectLst/>
          </c:spPr>
          <c:invertIfNegative val="0"/>
          <c:dPt>
            <c:idx val="0"/>
            <c:invertIfNegative val="0"/>
            <c:bubble3D val="0"/>
            <c:extLst>
              <c:ext xmlns:c16="http://schemas.microsoft.com/office/drawing/2014/chart" uri="{C3380CC4-5D6E-409C-BE32-E72D297353CC}">
                <c16:uniqueId val="{00000004-98C3-489F-B9E3-393C817FD941}"/>
              </c:ext>
            </c:extLst>
          </c:dPt>
          <c:dPt>
            <c:idx val="1"/>
            <c:invertIfNegative val="0"/>
            <c:bubble3D val="0"/>
            <c:extLst>
              <c:ext xmlns:c16="http://schemas.microsoft.com/office/drawing/2014/chart" uri="{C3380CC4-5D6E-409C-BE32-E72D297353CC}">
                <c16:uniqueId val="{00000003-98C3-489F-B9E3-393C817FD941}"/>
              </c:ext>
            </c:extLst>
          </c:dPt>
          <c:dLbls>
            <c:dLbl>
              <c:idx val="0"/>
              <c:tx>
                <c:rich>
                  <a:bodyPr/>
                  <a:lstStyle/>
                  <a:p>
                    <a:fld id="{20695775-CD3A-4B32-8BDB-4A442601379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8C3-489F-B9E3-393C817FD941}"/>
                </c:ext>
              </c:extLst>
            </c:dLbl>
            <c:dLbl>
              <c:idx val="1"/>
              <c:tx>
                <c:rich>
                  <a:bodyPr/>
                  <a:lstStyle/>
                  <a:p>
                    <a:fld id="{B8202B2C-6655-4733-A88D-37957E61E5B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8C3-489F-B9E3-393C817FD94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Table'!$D$39:$D$40</c:f>
              <c:strCache>
                <c:ptCount val="2"/>
                <c:pt idx="0">
                  <c:v>Admitted</c:v>
                </c:pt>
                <c:pt idx="1">
                  <c:v>Not Admitted</c:v>
                </c:pt>
              </c:strCache>
            </c:strRef>
          </c:cat>
          <c:val>
            <c:numRef>
              <c:f>'Pivot Table'!$D$39:$D$40</c:f>
              <c:numCache>
                <c:formatCode>0.00</c:formatCode>
                <c:ptCount val="2"/>
                <c:pt idx="0">
                  <c:v>253</c:v>
                </c:pt>
                <c:pt idx="1">
                  <c:v>253</c:v>
                </c:pt>
              </c:numCache>
            </c:numRef>
          </c:val>
          <c:extLst>
            <c:ext xmlns:c15="http://schemas.microsoft.com/office/drawing/2012/chart" uri="{02D57815-91ED-43cb-92C2-25804820EDAC}">
              <c15:datalabelsRange>
                <c15:f>'Pivot Table'!$D$39:$D$40</c15:f>
                <c15:dlblRangeCache>
                  <c:ptCount val="2"/>
                  <c:pt idx="0">
                    <c:v>50.0%</c:v>
                  </c:pt>
                  <c:pt idx="1">
                    <c:v>50.0%</c:v>
                  </c:pt>
                </c15:dlblRangeCache>
              </c15:datalabelsRange>
            </c:ext>
            <c:ext xmlns:c16="http://schemas.microsoft.com/office/drawing/2014/chart" uri="{C3380CC4-5D6E-409C-BE32-E72D297353CC}">
              <c16:uniqueId val="{00000000-98C3-489F-B9E3-393C817FD941}"/>
            </c:ext>
          </c:extLst>
        </c:ser>
        <c:ser>
          <c:idx val="1"/>
          <c:order val="1"/>
          <c:tx>
            <c:strRef>
              <c:f>'Pivot Table'!$D$39:$D$40</c:f>
              <c:strCache>
                <c:ptCount val="1"/>
                <c:pt idx="0">
                  <c:v>Count of Patient Admission Flag2</c:v>
                </c:pt>
              </c:strCache>
            </c:strRef>
          </c:tx>
          <c:spPr>
            <a:solidFill>
              <a:schemeClr val="accent2"/>
            </a:solidFill>
            <a:ln>
              <a:noFill/>
            </a:ln>
            <a:effectLst/>
          </c:spPr>
          <c:invertIfNegative val="0"/>
          <c:cat>
            <c:strRef>
              <c:f>'Pivot Table'!$D$39:$D$40</c:f>
              <c:strCache>
                <c:ptCount val="2"/>
                <c:pt idx="0">
                  <c:v>Admitted</c:v>
                </c:pt>
                <c:pt idx="1">
                  <c:v>Not Admitted</c:v>
                </c:pt>
              </c:strCache>
            </c:strRef>
          </c:cat>
          <c:val>
            <c:numRef>
              <c:f>'Pivot Table'!$D$39:$D$40</c:f>
              <c:numCache>
                <c:formatCode>0.0%</c:formatCode>
                <c:ptCount val="2"/>
                <c:pt idx="0">
                  <c:v>0.5</c:v>
                </c:pt>
                <c:pt idx="1">
                  <c:v>0.5</c:v>
                </c:pt>
              </c:numCache>
            </c:numRef>
          </c:val>
          <c:extLst>
            <c:ext xmlns:c16="http://schemas.microsoft.com/office/drawing/2014/chart" uri="{C3380CC4-5D6E-409C-BE32-E72D297353CC}">
              <c16:uniqueId val="{00000001-98C3-489F-B9E3-393C817FD941}"/>
            </c:ext>
          </c:extLst>
        </c:ser>
        <c:dLbls>
          <c:showLegendKey val="0"/>
          <c:showVal val="0"/>
          <c:showCatName val="0"/>
          <c:showSerName val="0"/>
          <c:showPercent val="0"/>
          <c:showBubbleSize val="0"/>
        </c:dLbls>
        <c:gapWidth val="182"/>
        <c:axId val="792025088"/>
        <c:axId val="792041888"/>
      </c:barChart>
      <c:catAx>
        <c:axId val="792025088"/>
        <c:scaling>
          <c:orientation val="minMax"/>
        </c:scaling>
        <c:delete val="1"/>
        <c:axPos val="l"/>
        <c:numFmt formatCode="General" sourceLinked="1"/>
        <c:majorTickMark val="none"/>
        <c:minorTickMark val="none"/>
        <c:tickLblPos val="nextTo"/>
        <c:crossAx val="792041888"/>
        <c:crosses val="autoZero"/>
        <c:auto val="1"/>
        <c:lblAlgn val="ctr"/>
        <c:lblOffset val="100"/>
        <c:noMultiLvlLbl val="0"/>
      </c:catAx>
      <c:valAx>
        <c:axId val="792041888"/>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79202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9525" cap="flat" cmpd="sng" algn="ctr">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85175350061443E-2"/>
          <c:y val="0.16226299381611897"/>
          <c:w val="0.92574181720702875"/>
          <c:h val="0.7566055092758216"/>
        </c:manualLayout>
      </c:layout>
      <c:areaChart>
        <c:grouping val="standard"/>
        <c:varyColors val="0"/>
        <c:ser>
          <c:idx val="0"/>
          <c:order val="0"/>
          <c:tx>
            <c:strRef>
              <c:f>'Pivot Table'!$E$4</c:f>
              <c:strCache>
                <c:ptCount val="1"/>
                <c:pt idx="0">
                  <c:v>Total</c:v>
                </c:pt>
              </c:strCache>
            </c:strRef>
          </c:tx>
          <c:spPr>
            <a:solidFill>
              <a:schemeClr val="accent6">
                <a:lumMod val="50000"/>
              </a:schemeClr>
            </a:solidFill>
            <a:ln w="9525" cap="flat" cmpd="sng" algn="ctr">
              <a:solidFill>
                <a:schemeClr val="accent1">
                  <a:lumMod val="60000"/>
                  <a:lumOff val="40000"/>
                </a:schemeClr>
              </a:solidFill>
              <a:round/>
            </a:ln>
            <a:effectLst/>
          </c:spPr>
          <c:cat>
            <c:strRef>
              <c:f>'Pivot Table'!$D$5:$D$35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Table'!$E$5:$E$35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E973-4D3C-83F1-204B2DE91D51}"/>
            </c:ext>
          </c:extLst>
        </c:ser>
        <c:dLbls>
          <c:showLegendKey val="0"/>
          <c:showVal val="0"/>
          <c:showCatName val="0"/>
          <c:showSerName val="0"/>
          <c:showPercent val="0"/>
          <c:showBubbleSize val="0"/>
        </c:dLbls>
        <c:axId val="471910144"/>
        <c:axId val="471912544"/>
      </c:areaChart>
      <c:catAx>
        <c:axId val="471910144"/>
        <c:scaling>
          <c:orientation val="minMax"/>
        </c:scaling>
        <c:delete val="1"/>
        <c:axPos val="b"/>
        <c:numFmt formatCode="General" sourceLinked="1"/>
        <c:majorTickMark val="out"/>
        <c:minorTickMark val="none"/>
        <c:tickLblPos val="nextTo"/>
        <c:crossAx val="471912544"/>
        <c:crosses val="autoZero"/>
        <c:auto val="1"/>
        <c:lblAlgn val="ctr"/>
        <c:lblOffset val="100"/>
        <c:noMultiLvlLbl val="0"/>
      </c:catAx>
      <c:valAx>
        <c:axId val="471912544"/>
        <c:scaling>
          <c:orientation val="minMax"/>
        </c:scaling>
        <c:delete val="1"/>
        <c:axPos val="l"/>
        <c:numFmt formatCode="General" sourceLinked="1"/>
        <c:majorTickMark val="none"/>
        <c:minorTickMark val="none"/>
        <c:tickLblPos val="nextTo"/>
        <c:crossAx val="471910144"/>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54054054054057E-2"/>
          <c:y val="0.10476190476190476"/>
          <c:w val="0.91646191646191644"/>
          <c:h val="0.89523809523809528"/>
        </c:manualLayout>
      </c:layout>
      <c:areaChart>
        <c:grouping val="standard"/>
        <c:varyColors val="0"/>
        <c:ser>
          <c:idx val="0"/>
          <c:order val="0"/>
          <c:tx>
            <c:strRef>
              <c:f>'Pivot Table'!$H$4</c:f>
              <c:strCache>
                <c:ptCount val="1"/>
                <c:pt idx="0">
                  <c:v>Total</c:v>
                </c:pt>
              </c:strCache>
            </c:strRef>
          </c:tx>
          <c:spPr>
            <a:solidFill>
              <a:schemeClr val="accent6">
                <a:lumMod val="50000"/>
              </a:schemeClr>
            </a:solidFill>
            <a:ln>
              <a:solidFill>
                <a:schemeClr val="accent1">
                  <a:lumMod val="60000"/>
                  <a:lumOff val="40000"/>
                </a:schemeClr>
              </a:solidFill>
            </a:ln>
            <a:effectLst/>
          </c:spPr>
          <c:cat>
            <c:strRef>
              <c:f>'Pivot Table'!$G$5:$G$35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Table'!$H$5:$H$35</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1AEE-4872-94C1-217825496E96}"/>
            </c:ext>
          </c:extLst>
        </c:ser>
        <c:dLbls>
          <c:showLegendKey val="0"/>
          <c:showVal val="0"/>
          <c:showCatName val="0"/>
          <c:showSerName val="0"/>
          <c:showPercent val="0"/>
          <c:showBubbleSize val="0"/>
        </c:dLbls>
        <c:axId val="471910144"/>
        <c:axId val="471912544"/>
      </c:areaChart>
      <c:catAx>
        <c:axId val="471910144"/>
        <c:scaling>
          <c:orientation val="minMax"/>
        </c:scaling>
        <c:delete val="1"/>
        <c:axPos val="b"/>
        <c:numFmt formatCode="General" sourceLinked="1"/>
        <c:majorTickMark val="out"/>
        <c:minorTickMark val="none"/>
        <c:tickLblPos val="nextTo"/>
        <c:crossAx val="471912544"/>
        <c:crosses val="autoZero"/>
        <c:auto val="1"/>
        <c:lblAlgn val="ctr"/>
        <c:lblOffset val="100"/>
        <c:noMultiLvlLbl val="0"/>
      </c:catAx>
      <c:valAx>
        <c:axId val="47191254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471910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0185185185185185"/>
          <c:w val="0.93888888888888888"/>
          <c:h val="0.89814814814814814"/>
        </c:manualLayout>
      </c:layout>
      <c:areaChart>
        <c:grouping val="standard"/>
        <c:varyColors val="0"/>
        <c:ser>
          <c:idx val="0"/>
          <c:order val="0"/>
          <c:tx>
            <c:strRef>
              <c:f>'Pivot Table'!$K$4</c:f>
              <c:strCache>
                <c:ptCount val="1"/>
                <c:pt idx="0">
                  <c:v>Total</c:v>
                </c:pt>
              </c:strCache>
            </c:strRef>
          </c:tx>
          <c:spPr>
            <a:solidFill>
              <a:schemeClr val="accent6">
                <a:lumMod val="50000"/>
              </a:schemeClr>
            </a:solidFill>
            <a:ln>
              <a:solidFill>
                <a:schemeClr val="accent1">
                  <a:lumMod val="60000"/>
                  <a:lumOff val="40000"/>
                </a:schemeClr>
              </a:solidFill>
            </a:ln>
            <a:effectLst/>
          </c:spPr>
          <c:cat>
            <c:strRef>
              <c:f>'Pivot Table'!$J$5:$J$35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Table'!$K$5:$K$35</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1946-419B-8379-42DA3530B89D}"/>
            </c:ext>
          </c:extLst>
        </c:ser>
        <c:dLbls>
          <c:showLegendKey val="0"/>
          <c:showVal val="0"/>
          <c:showCatName val="0"/>
          <c:showSerName val="0"/>
          <c:showPercent val="0"/>
          <c:showBubbleSize val="0"/>
        </c:dLbls>
        <c:axId val="471868384"/>
        <c:axId val="471852064"/>
      </c:areaChart>
      <c:catAx>
        <c:axId val="471868384"/>
        <c:scaling>
          <c:orientation val="minMax"/>
        </c:scaling>
        <c:delete val="1"/>
        <c:axPos val="b"/>
        <c:numFmt formatCode="General" sourceLinked="1"/>
        <c:majorTickMark val="out"/>
        <c:minorTickMark val="none"/>
        <c:tickLblPos val="nextTo"/>
        <c:crossAx val="471852064"/>
        <c:crosses val="autoZero"/>
        <c:auto val="1"/>
        <c:lblAlgn val="ctr"/>
        <c:lblOffset val="100"/>
        <c:noMultiLvlLbl val="0"/>
      </c:catAx>
      <c:valAx>
        <c:axId val="47185206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471868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4"/>
          <c:y val="2.1276595744680851E-2"/>
          <c:w val="0.92"/>
          <c:h val="0.81419668286145086"/>
        </c:manualLayout>
      </c:layout>
      <c:barChart>
        <c:barDir val="col"/>
        <c:grouping val="clustered"/>
        <c:varyColors val="0"/>
        <c:ser>
          <c:idx val="0"/>
          <c:order val="0"/>
          <c:tx>
            <c:strRef>
              <c:f>'Pivot Table'!$C$51</c:f>
              <c:strCache>
                <c:ptCount val="1"/>
                <c:pt idx="0">
                  <c:v>Total</c:v>
                </c:pt>
              </c:strCache>
            </c:strRef>
          </c:tx>
          <c:spPr>
            <a:solidFill>
              <a:schemeClr val="accent1">
                <a:lumMod val="60000"/>
                <a:lumOff val="4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Table'!$B$52:$B$60</c:f>
              <c:strCache>
                <c:ptCount val="8"/>
                <c:pt idx="0">
                  <c:v>0-10</c:v>
                </c:pt>
                <c:pt idx="1">
                  <c:v>10-20</c:v>
                </c:pt>
                <c:pt idx="2">
                  <c:v>20-30</c:v>
                </c:pt>
                <c:pt idx="3">
                  <c:v>30-40</c:v>
                </c:pt>
                <c:pt idx="4">
                  <c:v>40-50</c:v>
                </c:pt>
                <c:pt idx="5">
                  <c:v>50-60</c:v>
                </c:pt>
                <c:pt idx="6">
                  <c:v>60-70</c:v>
                </c:pt>
                <c:pt idx="7">
                  <c:v>70-80</c:v>
                </c:pt>
              </c:strCache>
            </c:strRef>
          </c:cat>
          <c:val>
            <c:numRef>
              <c:f>'Pivot Table'!$C$52:$C$60</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A515-4F3C-92B8-3310CB6BA8E5}"/>
            </c:ext>
          </c:extLst>
        </c:ser>
        <c:dLbls>
          <c:showLegendKey val="0"/>
          <c:showVal val="0"/>
          <c:showCatName val="0"/>
          <c:showSerName val="0"/>
          <c:showPercent val="0"/>
          <c:showBubbleSize val="0"/>
        </c:dLbls>
        <c:gapWidth val="219"/>
        <c:overlap val="-27"/>
        <c:axId val="97266672"/>
        <c:axId val="99141120"/>
      </c:barChart>
      <c:catAx>
        <c:axId val="9726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99141120"/>
        <c:crosses val="autoZero"/>
        <c:auto val="1"/>
        <c:lblAlgn val="ctr"/>
        <c:lblOffset val="100"/>
        <c:noMultiLvlLbl val="0"/>
      </c:catAx>
      <c:valAx>
        <c:axId val="9914112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9726667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8.8025861895372093E-2"/>
          <c:y val="2.0286979905962562E-2"/>
          <c:w val="0.61876756124816623"/>
          <c:h val="1"/>
        </c:manualLayout>
      </c:layout>
      <c:doughnutChart>
        <c:varyColors val="1"/>
        <c:ser>
          <c:idx val="0"/>
          <c:order val="0"/>
          <c:tx>
            <c:strRef>
              <c:f>'Pivot Table'!$C$71</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BB3A-4DE9-9A8F-131B4B13C30D}"/>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BB3A-4DE9-9A8F-131B4B13C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Table'!$B$72:$B$74</c:f>
              <c:strCache>
                <c:ptCount val="2"/>
                <c:pt idx="0">
                  <c:v>Female</c:v>
                </c:pt>
                <c:pt idx="1">
                  <c:v>Male</c:v>
                </c:pt>
              </c:strCache>
            </c:strRef>
          </c:cat>
          <c:val>
            <c:numRef>
              <c:f>'Pivot Table'!$C$72:$C$74</c:f>
              <c:numCache>
                <c:formatCode>0.00</c:formatCode>
                <c:ptCount val="2"/>
                <c:pt idx="0">
                  <c:v>231</c:v>
                </c:pt>
                <c:pt idx="1">
                  <c:v>275</c:v>
                </c:pt>
              </c:numCache>
            </c:numRef>
          </c:val>
          <c:extLst>
            <c:ext xmlns:c16="http://schemas.microsoft.com/office/drawing/2014/chart" uri="{C3380CC4-5D6E-409C-BE32-E72D297353CC}">
              <c16:uniqueId val="{00000004-BB3A-4DE9-9A8F-131B4B13C30D}"/>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0612632136579256"/>
          <c:y val="5.3898956410353013E-2"/>
          <c:w val="0.2855517157876421"/>
          <c:h val="0.292318125306107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Table!PivotTable9</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trellis">
            <a:fgClr>
              <a:schemeClr val="accent6">
                <a:lumMod val="40000"/>
                <a:lumOff val="60000"/>
              </a:schemeClr>
            </a:fgClr>
            <a:bgClr>
              <a:schemeClr val="bg1"/>
            </a:bgClr>
          </a:pattFill>
          <a:ln w="19050">
            <a:solidFill>
              <a:schemeClr val="lt1"/>
            </a:solidFill>
          </a:ln>
          <a:effectLst/>
        </c:spPr>
      </c:pivotFmt>
      <c:pivotFmt>
        <c:idx val="12"/>
        <c:spPr>
          <a:pattFill prst="trellis">
            <a:fgClr>
              <a:srgbClr val="00B0F0"/>
            </a:fgClr>
            <a:bgClr>
              <a:schemeClr val="bg1"/>
            </a:bgClr>
          </a:pattFill>
          <a:ln w="19050">
            <a:solidFill>
              <a:schemeClr val="lt1"/>
            </a:solidFill>
          </a:ln>
          <a:effectLst/>
        </c:spPr>
      </c:pivotFmt>
    </c:pivotFmts>
    <c:plotArea>
      <c:layout>
        <c:manualLayout>
          <c:layoutTarget val="inner"/>
          <c:xMode val="edge"/>
          <c:yMode val="edge"/>
          <c:x val="6.768771277595606E-2"/>
          <c:y val="6.2499687539057637E-2"/>
          <c:w val="0.58867253881400416"/>
          <c:h val="0.85757234049447528"/>
        </c:manualLayout>
      </c:layout>
      <c:pieChart>
        <c:varyColors val="1"/>
        <c:ser>
          <c:idx val="0"/>
          <c:order val="0"/>
          <c:tx>
            <c:strRef>
              <c:f>'Pivot Table'!$C$64</c:f>
              <c:strCache>
                <c:ptCount val="1"/>
                <c:pt idx="0">
                  <c:v>Total</c:v>
                </c:pt>
              </c:strCache>
            </c:strRef>
          </c:tx>
          <c:dPt>
            <c:idx val="0"/>
            <c:bubble3D val="0"/>
            <c:spPr>
              <a:pattFill prst="trellis">
                <a:fgClr>
                  <a:schemeClr val="accent6">
                    <a:lumMod val="40000"/>
                    <a:lumOff val="60000"/>
                  </a:schemeClr>
                </a:fgClr>
                <a:bgClr>
                  <a:schemeClr val="bg1"/>
                </a:bgClr>
              </a:pattFill>
              <a:ln w="19050">
                <a:solidFill>
                  <a:schemeClr val="lt1"/>
                </a:solidFill>
              </a:ln>
              <a:effectLst/>
            </c:spPr>
            <c:extLst>
              <c:ext xmlns:c16="http://schemas.microsoft.com/office/drawing/2014/chart" uri="{C3380CC4-5D6E-409C-BE32-E72D297353CC}">
                <c16:uniqueId val="{00000001-31AD-4C97-A5B4-4D264D32F9BC}"/>
              </c:ext>
            </c:extLst>
          </c:dPt>
          <c:dPt>
            <c:idx val="1"/>
            <c:bubble3D val="0"/>
            <c:spPr>
              <a:pattFill prst="trellis">
                <a:fgClr>
                  <a:srgbClr val="00B0F0"/>
                </a:fgClr>
                <a:bgClr>
                  <a:schemeClr val="bg1"/>
                </a:bgClr>
              </a:pattFill>
              <a:ln w="19050">
                <a:solidFill>
                  <a:schemeClr val="lt1"/>
                </a:solidFill>
              </a:ln>
              <a:effectLst/>
            </c:spPr>
            <c:extLst>
              <c:ext xmlns:c16="http://schemas.microsoft.com/office/drawing/2014/chart" uri="{C3380CC4-5D6E-409C-BE32-E72D297353CC}">
                <c16:uniqueId val="{00000003-31AD-4C97-A5B4-4D264D32F9B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Table'!$B$65:$B$67</c:f>
              <c:strCache>
                <c:ptCount val="2"/>
                <c:pt idx="0">
                  <c:v>Delay</c:v>
                </c:pt>
                <c:pt idx="1">
                  <c:v>On Time</c:v>
                </c:pt>
              </c:strCache>
            </c:strRef>
          </c:cat>
          <c:val>
            <c:numRef>
              <c:f>'Pivot Table'!$C$65:$C$67</c:f>
              <c:numCache>
                <c:formatCode>0</c:formatCode>
                <c:ptCount val="2"/>
                <c:pt idx="0">
                  <c:v>312</c:v>
                </c:pt>
                <c:pt idx="1">
                  <c:v>194</c:v>
                </c:pt>
              </c:numCache>
            </c:numRef>
          </c:val>
          <c:extLst>
            <c:ext xmlns:c16="http://schemas.microsoft.com/office/drawing/2014/chart" uri="{C3380CC4-5D6E-409C-BE32-E72D297353CC}">
              <c16:uniqueId val="{00000004-31AD-4C97-A5B4-4D264D32F9B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59580052493438"/>
          <c:y val="0.1676575613233531"/>
          <c:w val="0.24791328139685456"/>
          <c:h val="0.267859017622797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Table'!$C$78</c:f>
              <c:strCache>
                <c:ptCount val="1"/>
                <c:pt idx="0">
                  <c:v>Total</c:v>
                </c:pt>
              </c:strCache>
            </c:strRef>
          </c:tx>
          <c:spPr>
            <a:solidFill>
              <a:schemeClr val="accent6">
                <a:lumMod val="50000"/>
              </a:schemeClr>
            </a:solidFill>
            <a:ln>
              <a:noFill/>
            </a:ln>
            <a:effectLst/>
          </c:spPr>
          <c:invertIfNegative val="0"/>
          <c:cat>
            <c:strRef>
              <c:f>'Pivot Table'!$B$79:$B$87</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Table'!$C$79:$C$87</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FA3E-4151-BDC6-267C5FB61010}"/>
            </c:ext>
          </c:extLst>
        </c:ser>
        <c:dLbls>
          <c:showLegendKey val="0"/>
          <c:showVal val="0"/>
          <c:showCatName val="0"/>
          <c:showSerName val="0"/>
          <c:showPercent val="0"/>
          <c:showBubbleSize val="0"/>
        </c:dLbls>
        <c:gapWidth val="182"/>
        <c:axId val="743330528"/>
        <c:axId val="743330048"/>
      </c:barChart>
      <c:catAx>
        <c:axId val="74333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3330048"/>
        <c:crosses val="autoZero"/>
        <c:auto val="1"/>
        <c:lblAlgn val="ctr"/>
        <c:lblOffset val="100"/>
        <c:noMultiLvlLbl val="0"/>
      </c:catAx>
      <c:valAx>
        <c:axId val="743330048"/>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333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Sheet1!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emf"/><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1889760</xdr:colOff>
      <xdr:row>44</xdr:row>
      <xdr:rowOff>83820</xdr:rowOff>
    </xdr:from>
    <xdr:to>
      <xdr:col>6</xdr:col>
      <xdr:colOff>83820</xdr:colOff>
      <xdr:row>48</xdr:row>
      <xdr:rowOff>60960</xdr:rowOff>
    </xdr:to>
    <xdr:graphicFrame macro="">
      <xdr:nvGraphicFramePr>
        <xdr:cNvPr id="9" name="Chart 8">
          <a:extLst>
            <a:ext uri="{FF2B5EF4-FFF2-40B4-BE49-F238E27FC236}">
              <a16:creationId xmlns:a16="http://schemas.microsoft.com/office/drawing/2014/main" id="{3D5BC449-51EF-E1D9-76A1-D7F0FAA1E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393700</xdr:colOff>
      <xdr:row>4</xdr:row>
      <xdr:rowOff>171450</xdr:rowOff>
    </xdr:from>
    <xdr:to>
      <xdr:col>17</xdr:col>
      <xdr:colOff>476250</xdr:colOff>
      <xdr:row>20</xdr:row>
      <xdr:rowOff>114300</xdr:rowOff>
    </xdr:to>
    <xdr:sp macro="" textlink="">
      <xdr:nvSpPr>
        <xdr:cNvPr id="27" name="Rectangle: Rounded Corners 26">
          <a:extLst>
            <a:ext uri="{FF2B5EF4-FFF2-40B4-BE49-F238E27FC236}">
              <a16:creationId xmlns:a16="http://schemas.microsoft.com/office/drawing/2014/main" id="{A2A2B12B-5861-40C6-B2AF-88BD194E41E4}"/>
            </a:ext>
          </a:extLst>
        </xdr:cNvPr>
        <xdr:cNvSpPr/>
      </xdr:nvSpPr>
      <xdr:spPr>
        <a:xfrm>
          <a:off x="7708900" y="908050"/>
          <a:ext cx="3130550" cy="2889250"/>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8</xdr:col>
      <xdr:colOff>355600</xdr:colOff>
      <xdr:row>13</xdr:row>
      <xdr:rowOff>5768</xdr:rowOff>
    </xdr:from>
    <xdr:to>
      <xdr:col>12</xdr:col>
      <xdr:colOff>250252</xdr:colOff>
      <xdr:row>20</xdr:row>
      <xdr:rowOff>146682</xdr:rowOff>
    </xdr:to>
    <xdr:sp macro="" textlink="">
      <xdr:nvSpPr>
        <xdr:cNvPr id="25" name="Rectangle: Rounded Corners 24">
          <a:extLst>
            <a:ext uri="{FF2B5EF4-FFF2-40B4-BE49-F238E27FC236}">
              <a16:creationId xmlns:a16="http://schemas.microsoft.com/office/drawing/2014/main" id="{0EF4998F-63D6-443B-8891-DF2CC4E6ABDC}"/>
            </a:ext>
          </a:extLst>
        </xdr:cNvPr>
        <xdr:cNvSpPr/>
      </xdr:nvSpPr>
      <xdr:spPr>
        <a:xfrm>
          <a:off x="5232400" y="2399718"/>
          <a:ext cx="2333052" cy="1429964"/>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8</xdr:col>
      <xdr:colOff>354436</xdr:colOff>
      <xdr:row>4</xdr:row>
      <xdr:rowOff>151768</xdr:rowOff>
    </xdr:from>
    <xdr:to>
      <xdr:col>12</xdr:col>
      <xdr:colOff>222250</xdr:colOff>
      <xdr:row>12</xdr:row>
      <xdr:rowOff>120650</xdr:rowOff>
    </xdr:to>
    <xdr:sp macro="" textlink="">
      <xdr:nvSpPr>
        <xdr:cNvPr id="22" name="Rectangle: Rounded Corners 21">
          <a:extLst>
            <a:ext uri="{FF2B5EF4-FFF2-40B4-BE49-F238E27FC236}">
              <a16:creationId xmlns:a16="http://schemas.microsoft.com/office/drawing/2014/main" id="{77A864BC-F5B3-D09C-FBDB-D20F2444FC96}"/>
            </a:ext>
          </a:extLst>
        </xdr:cNvPr>
        <xdr:cNvSpPr/>
      </xdr:nvSpPr>
      <xdr:spPr>
        <a:xfrm>
          <a:off x="5231236" y="888368"/>
          <a:ext cx="2306214" cy="1442082"/>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0</xdr:col>
      <xdr:colOff>132186</xdr:colOff>
      <xdr:row>0</xdr:row>
      <xdr:rowOff>111054</xdr:rowOff>
    </xdr:from>
    <xdr:to>
      <xdr:col>8</xdr:col>
      <xdr:colOff>161271</xdr:colOff>
      <xdr:row>3</xdr:row>
      <xdr:rowOff>64518</xdr:rowOff>
    </xdr:to>
    <xdr:sp macro="" textlink="">
      <xdr:nvSpPr>
        <xdr:cNvPr id="2" name="Rectangle: Rounded Corners 1">
          <a:extLst>
            <a:ext uri="{FF2B5EF4-FFF2-40B4-BE49-F238E27FC236}">
              <a16:creationId xmlns:a16="http://schemas.microsoft.com/office/drawing/2014/main" id="{E1B639B1-A4A0-420F-B633-0E3646240FF5}"/>
            </a:ext>
          </a:extLst>
        </xdr:cNvPr>
        <xdr:cNvSpPr/>
      </xdr:nvSpPr>
      <xdr:spPr>
        <a:xfrm>
          <a:off x="132186" y="111054"/>
          <a:ext cx="4905885" cy="505914"/>
        </a:xfrm>
        <a:prstGeom prst="roundRect">
          <a:avLst>
            <a:gd name="adj" fmla="val 18391"/>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en-IN" sz="1800" b="1">
              <a:solidFill>
                <a:schemeClr val="accent6">
                  <a:lumMod val="50000"/>
                </a:schemeClr>
              </a:solidFill>
              <a:latin typeface="+mn-lt"/>
            </a:rPr>
            <a:t>Hospital</a:t>
          </a:r>
          <a:r>
            <a:rPr lang="en-IN" sz="1800" b="1" baseline="0">
              <a:solidFill>
                <a:schemeClr val="accent6">
                  <a:lumMod val="50000"/>
                </a:schemeClr>
              </a:solidFill>
              <a:latin typeface="+mn-lt"/>
            </a:rPr>
            <a:t> Emergency Room Dashboard</a:t>
          </a:r>
          <a:endParaRPr lang="en-IN" sz="1800" b="1">
            <a:solidFill>
              <a:schemeClr val="accent6">
                <a:lumMod val="50000"/>
              </a:schemeClr>
            </a:solidFill>
            <a:latin typeface="+mn-lt"/>
          </a:endParaRPr>
        </a:p>
      </xdr:txBody>
    </xdr:sp>
    <xdr:clientData/>
  </xdr:twoCellAnchor>
  <xdr:twoCellAnchor editAs="oneCell">
    <xdr:from>
      <xdr:col>0</xdr:col>
      <xdr:colOff>180319</xdr:colOff>
      <xdr:row>0</xdr:row>
      <xdr:rowOff>87252</xdr:rowOff>
    </xdr:from>
    <xdr:to>
      <xdr:col>1</xdr:col>
      <xdr:colOff>56448</xdr:colOff>
      <xdr:row>2</xdr:row>
      <xdr:rowOff>98887</xdr:rowOff>
    </xdr:to>
    <xdr:pic>
      <xdr:nvPicPr>
        <xdr:cNvPr id="3" name="Graphic 2" descr="Hospital">
          <a:extLst>
            <a:ext uri="{FF2B5EF4-FFF2-40B4-BE49-F238E27FC236}">
              <a16:creationId xmlns:a16="http://schemas.microsoft.com/office/drawing/2014/main" id="{46343FB5-A965-4B4C-B652-EA39A4852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319" y="87252"/>
          <a:ext cx="486892" cy="372276"/>
        </a:xfrm>
        <a:prstGeom prst="rect">
          <a:avLst/>
        </a:prstGeom>
      </xdr:spPr>
    </xdr:pic>
    <xdr:clientData/>
  </xdr:twoCellAnchor>
  <xdr:twoCellAnchor editAs="oneCell">
    <xdr:from>
      <xdr:col>8</xdr:col>
      <xdr:colOff>496172</xdr:colOff>
      <xdr:row>0</xdr:row>
      <xdr:rowOff>109988</xdr:rowOff>
    </xdr:from>
    <xdr:to>
      <xdr:col>17</xdr:col>
      <xdr:colOff>385653</xdr:colOff>
      <xdr:row>4</xdr:row>
      <xdr:rowOff>63452</xdr:rowOff>
    </xdr:to>
    <mc:AlternateContent xmlns:mc="http://schemas.openxmlformats.org/markup-compatibility/2006" xmlns:a14="http://schemas.microsoft.com/office/drawing/2010/main">
      <mc:Choice Requires="a14">
        <xdr:graphicFrame macro="">
          <xdr:nvGraphicFramePr>
            <xdr:cNvPr id="4" name="Date (Month) 1">
              <a:extLst>
                <a:ext uri="{FF2B5EF4-FFF2-40B4-BE49-F238E27FC236}">
                  <a16:creationId xmlns:a16="http://schemas.microsoft.com/office/drawing/2014/main" id="{2A8D745A-6FB7-4BF5-9C19-0B0810953D2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372972" y="109988"/>
              <a:ext cx="5375881" cy="680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157586</xdr:colOff>
      <xdr:row>5</xdr:row>
      <xdr:rowOff>107319</xdr:rowOff>
    </xdr:from>
    <xdr:to>
      <xdr:col>2</xdr:col>
      <xdr:colOff>343725</xdr:colOff>
      <xdr:row>9</xdr:row>
      <xdr:rowOff>54969</xdr:rowOff>
    </xdr:to>
    <xdr:sp macro="" textlink="">
      <xdr:nvSpPr>
        <xdr:cNvPr id="5" name="Rectangle: Rounded Corners 4">
          <a:extLst>
            <a:ext uri="{FF2B5EF4-FFF2-40B4-BE49-F238E27FC236}">
              <a16:creationId xmlns:a16="http://schemas.microsoft.com/office/drawing/2014/main" id="{7541CAE3-6897-46F2-887C-1C599215116B}"/>
            </a:ext>
          </a:extLst>
        </xdr:cNvPr>
        <xdr:cNvSpPr/>
      </xdr:nvSpPr>
      <xdr:spPr>
        <a:xfrm>
          <a:off x="157586" y="1028069"/>
          <a:ext cx="1405339" cy="684250"/>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0</xdr:col>
      <xdr:colOff>291374</xdr:colOff>
      <xdr:row>7</xdr:row>
      <xdr:rowOff>174045</xdr:rowOff>
    </xdr:from>
    <xdr:to>
      <xdr:col>2</xdr:col>
      <xdr:colOff>198305</xdr:colOff>
      <xdr:row>8</xdr:row>
      <xdr:rowOff>169317</xdr:rowOff>
    </xdr:to>
    <xdr:sp macro="" textlink="">
      <xdr:nvSpPr>
        <xdr:cNvPr id="6" name="Rectangle: Rounded Corners 5">
          <a:extLst>
            <a:ext uri="{FF2B5EF4-FFF2-40B4-BE49-F238E27FC236}">
              <a16:creationId xmlns:a16="http://schemas.microsoft.com/office/drawing/2014/main" id="{E3AD0E96-4852-42B9-A608-B8B62C8BA1C9}"/>
            </a:ext>
          </a:extLst>
        </xdr:cNvPr>
        <xdr:cNvSpPr/>
      </xdr:nvSpPr>
      <xdr:spPr>
        <a:xfrm>
          <a:off x="291374" y="1463095"/>
          <a:ext cx="1126131" cy="179422"/>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IN" sz="1100" b="0" i="0" u="none" strike="noStrike">
              <a:solidFill>
                <a:schemeClr val="accent6">
                  <a:lumMod val="75000"/>
                </a:schemeClr>
              </a:solidFill>
              <a:latin typeface="Calibri"/>
              <a:ea typeface="Calibri"/>
              <a:cs typeface="Calibri"/>
            </a:rPr>
            <a:t>No. of Patients</a:t>
          </a:r>
        </a:p>
      </xdr:txBody>
    </xdr:sp>
    <xdr:clientData/>
  </xdr:twoCellAnchor>
  <xdr:twoCellAnchor editAs="absolute">
    <xdr:from>
      <xdr:col>0</xdr:col>
      <xdr:colOff>191816</xdr:colOff>
      <xdr:row>6</xdr:row>
      <xdr:rowOff>14252</xdr:rowOff>
    </xdr:from>
    <xdr:to>
      <xdr:col>2</xdr:col>
      <xdr:colOff>314640</xdr:colOff>
      <xdr:row>7</xdr:row>
      <xdr:rowOff>124770</xdr:rowOff>
    </xdr:to>
    <xdr:sp macro="" textlink="'Pivot Table'!B5">
      <xdr:nvSpPr>
        <xdr:cNvPr id="7" name="Rectangle: Rounded Corners 6">
          <a:extLst>
            <a:ext uri="{FF2B5EF4-FFF2-40B4-BE49-F238E27FC236}">
              <a16:creationId xmlns:a16="http://schemas.microsoft.com/office/drawing/2014/main" id="{D73BEE18-2D01-49C2-8DCD-FD61B33979D8}"/>
            </a:ext>
          </a:extLst>
        </xdr:cNvPr>
        <xdr:cNvSpPr/>
      </xdr:nvSpPr>
      <xdr:spPr>
        <a:xfrm>
          <a:off x="191816" y="1119152"/>
          <a:ext cx="1342024" cy="294668"/>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1E2D8EB-1E6E-4CD2-833D-A04EF3311816}" type="TxLink">
            <a:rPr lang="en-US" sz="1600" b="0" i="0" u="none" strike="noStrike">
              <a:solidFill>
                <a:schemeClr val="accent6">
                  <a:lumMod val="75000"/>
                </a:schemeClr>
              </a:solidFill>
              <a:latin typeface="Bahnschrift" panose="020B0502040204020203" pitchFamily="34" charset="0"/>
              <a:ea typeface="Calibri"/>
              <a:cs typeface="Calibri"/>
            </a:rPr>
            <a:pPr algn="ctr"/>
            <a:t>506</a:t>
          </a:fld>
          <a:endParaRPr lang="en-IN" sz="1600">
            <a:solidFill>
              <a:schemeClr val="accent6">
                <a:lumMod val="75000"/>
              </a:schemeClr>
            </a:solidFill>
            <a:latin typeface="Bahnschrift" panose="020B0502040204020203" pitchFamily="34" charset="0"/>
          </a:endParaRPr>
        </a:p>
      </xdr:txBody>
    </xdr:sp>
    <xdr:clientData/>
  </xdr:twoCellAnchor>
  <xdr:twoCellAnchor editAs="absolute">
    <xdr:from>
      <xdr:col>0</xdr:col>
      <xdr:colOff>151769</xdr:colOff>
      <xdr:row>10</xdr:row>
      <xdr:rowOff>179836</xdr:rowOff>
    </xdr:from>
    <xdr:to>
      <xdr:col>2</xdr:col>
      <xdr:colOff>384441</xdr:colOff>
      <xdr:row>14</xdr:row>
      <xdr:rowOff>168202</xdr:rowOff>
    </xdr:to>
    <xdr:sp macro="" textlink="">
      <xdr:nvSpPr>
        <xdr:cNvPr id="8" name="Rectangle: Rounded Corners 7">
          <a:extLst>
            <a:ext uri="{FF2B5EF4-FFF2-40B4-BE49-F238E27FC236}">
              <a16:creationId xmlns:a16="http://schemas.microsoft.com/office/drawing/2014/main" id="{26F738A1-03FA-4027-B10B-9207A42E3E51}"/>
            </a:ext>
          </a:extLst>
        </xdr:cNvPr>
        <xdr:cNvSpPr/>
      </xdr:nvSpPr>
      <xdr:spPr>
        <a:xfrm>
          <a:off x="151769" y="2021336"/>
          <a:ext cx="1451872" cy="724966"/>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marL="0" indent="0" algn="l"/>
          <a:endParaRPr lang="en-IN" sz="1100">
            <a:solidFill>
              <a:schemeClr val="dk1"/>
            </a:solidFill>
            <a:latin typeface="+mn-lt"/>
            <a:ea typeface="+mn-ea"/>
            <a:cs typeface="+mn-cs"/>
          </a:endParaRPr>
        </a:p>
      </xdr:txBody>
    </xdr:sp>
    <xdr:clientData/>
  </xdr:twoCellAnchor>
  <xdr:twoCellAnchor editAs="absolute">
    <xdr:from>
      <xdr:col>0</xdr:col>
      <xdr:colOff>186672</xdr:colOff>
      <xdr:row>11</xdr:row>
      <xdr:rowOff>92584</xdr:rowOff>
    </xdr:from>
    <xdr:to>
      <xdr:col>2</xdr:col>
      <xdr:colOff>326273</xdr:colOff>
      <xdr:row>13</xdr:row>
      <xdr:rowOff>53854</xdr:rowOff>
    </xdr:to>
    <xdr:sp macro="" textlink="'Pivot Table'!B11">
      <xdr:nvSpPr>
        <xdr:cNvPr id="9" name="Rectangle: Rounded Corners 8">
          <a:extLst>
            <a:ext uri="{FF2B5EF4-FFF2-40B4-BE49-F238E27FC236}">
              <a16:creationId xmlns:a16="http://schemas.microsoft.com/office/drawing/2014/main" id="{5AA0F3D3-0A1F-4DDD-9F30-E568400A8888}"/>
            </a:ext>
          </a:extLst>
        </xdr:cNvPr>
        <xdr:cNvSpPr/>
      </xdr:nvSpPr>
      <xdr:spPr>
        <a:xfrm>
          <a:off x="186672" y="2118234"/>
          <a:ext cx="1358801" cy="32957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B877BEA1-F702-46BE-A615-35AA364431EB}" type="TxLink">
            <a:rPr lang="en-US" sz="1600" b="0" i="0" u="none" strike="noStrike">
              <a:solidFill>
                <a:schemeClr val="accent6">
                  <a:lumMod val="75000"/>
                </a:schemeClr>
              </a:solidFill>
              <a:latin typeface="Bahnschrift" panose="020B0502040204020203" pitchFamily="34" charset="0"/>
              <a:ea typeface="Calibri"/>
              <a:cs typeface="Calibri"/>
            </a:rPr>
            <a:pPr marL="0" indent="0" algn="ctr"/>
            <a:t>5.33</a:t>
          </a:fld>
          <a:endParaRPr lang="en-IN" sz="1600" b="0" i="0" u="none" strike="noStrike">
            <a:solidFill>
              <a:schemeClr val="accent6">
                <a:lumMod val="75000"/>
              </a:schemeClr>
            </a:solidFill>
            <a:latin typeface="Bahnschrift" panose="020B0502040204020203" pitchFamily="34" charset="0"/>
            <a:ea typeface="Calibri"/>
            <a:cs typeface="Calibri"/>
          </a:endParaRPr>
        </a:p>
      </xdr:txBody>
    </xdr:sp>
    <xdr:clientData/>
  </xdr:twoCellAnchor>
  <xdr:twoCellAnchor editAs="absolute">
    <xdr:from>
      <xdr:col>0</xdr:col>
      <xdr:colOff>291374</xdr:colOff>
      <xdr:row>13</xdr:row>
      <xdr:rowOff>97313</xdr:rowOff>
    </xdr:from>
    <xdr:to>
      <xdr:col>2</xdr:col>
      <xdr:colOff>198305</xdr:colOff>
      <xdr:row>14</xdr:row>
      <xdr:rowOff>92584</xdr:rowOff>
    </xdr:to>
    <xdr:sp macro="" textlink="">
      <xdr:nvSpPr>
        <xdr:cNvPr id="10" name="Rectangle: Rounded Corners 9">
          <a:extLst>
            <a:ext uri="{FF2B5EF4-FFF2-40B4-BE49-F238E27FC236}">
              <a16:creationId xmlns:a16="http://schemas.microsoft.com/office/drawing/2014/main" id="{83B40ABC-2CD9-3B4F-3369-9AC6E73F65E2}"/>
            </a:ext>
          </a:extLst>
        </xdr:cNvPr>
        <xdr:cNvSpPr/>
      </xdr:nvSpPr>
      <xdr:spPr>
        <a:xfrm>
          <a:off x="291374" y="2491263"/>
          <a:ext cx="1126131" cy="179421"/>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IN" sz="1100" b="0" i="0" u="none" strike="noStrike">
              <a:solidFill>
                <a:schemeClr val="accent6">
                  <a:lumMod val="75000"/>
                </a:schemeClr>
              </a:solidFill>
              <a:latin typeface="Calibri"/>
              <a:ea typeface="Calibri"/>
              <a:cs typeface="Calibri"/>
            </a:rPr>
            <a:t>Avg</a:t>
          </a:r>
          <a:r>
            <a:rPr lang="en-IN" sz="1100" b="0" i="0" u="none" strike="noStrike" baseline="0">
              <a:solidFill>
                <a:schemeClr val="accent6">
                  <a:lumMod val="75000"/>
                </a:schemeClr>
              </a:solidFill>
              <a:latin typeface="Calibri"/>
              <a:ea typeface="Calibri"/>
              <a:cs typeface="Calibri"/>
            </a:rPr>
            <a:t> Patient Score</a:t>
          </a:r>
        </a:p>
        <a:p>
          <a:pPr marL="0" indent="0" algn="ctr"/>
          <a:endParaRPr lang="en-IN" sz="1100" b="0" i="0" u="none" strike="noStrike">
            <a:solidFill>
              <a:schemeClr val="accent6">
                <a:lumMod val="75000"/>
              </a:schemeClr>
            </a:solidFill>
            <a:latin typeface="Calibri"/>
            <a:ea typeface="Calibri"/>
            <a:cs typeface="Calibri"/>
          </a:endParaRPr>
        </a:p>
      </xdr:txBody>
    </xdr:sp>
    <xdr:clientData/>
  </xdr:twoCellAnchor>
  <xdr:twoCellAnchor>
    <xdr:from>
      <xdr:col>0</xdr:col>
      <xdr:colOff>151576</xdr:colOff>
      <xdr:row>3</xdr:row>
      <xdr:rowOff>123157</xdr:rowOff>
    </xdr:from>
    <xdr:to>
      <xdr:col>2</xdr:col>
      <xdr:colOff>342900</xdr:colOff>
      <xdr:row>6</xdr:row>
      <xdr:rowOff>76200</xdr:rowOff>
    </xdr:to>
    <xdr:graphicFrame macro="">
      <xdr:nvGraphicFramePr>
        <xdr:cNvPr id="11" name="Chart 10">
          <a:hlinkClick xmlns:r="http://schemas.openxmlformats.org/officeDocument/2006/relationships" r:id="rId3"/>
          <a:extLst>
            <a:ext uri="{FF2B5EF4-FFF2-40B4-BE49-F238E27FC236}">
              <a16:creationId xmlns:a16="http://schemas.microsoft.com/office/drawing/2014/main" id="{547D15A5-889E-4161-B13D-67462D6F1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158750</xdr:colOff>
      <xdr:row>16</xdr:row>
      <xdr:rowOff>146050</xdr:rowOff>
    </xdr:from>
    <xdr:to>
      <xdr:col>2</xdr:col>
      <xdr:colOff>406399</xdr:colOff>
      <xdr:row>20</xdr:row>
      <xdr:rowOff>127671</xdr:rowOff>
    </xdr:to>
    <xdr:sp macro="" textlink="">
      <xdr:nvSpPr>
        <xdr:cNvPr id="12" name="Rectangle: Rounded Corners 11">
          <a:extLst>
            <a:ext uri="{FF2B5EF4-FFF2-40B4-BE49-F238E27FC236}">
              <a16:creationId xmlns:a16="http://schemas.microsoft.com/office/drawing/2014/main" id="{96479404-3DDE-47E4-874C-0EC316682D20}"/>
            </a:ext>
          </a:extLst>
        </xdr:cNvPr>
        <xdr:cNvSpPr/>
      </xdr:nvSpPr>
      <xdr:spPr>
        <a:xfrm>
          <a:off x="158750" y="3092450"/>
          <a:ext cx="1466849" cy="718221"/>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marL="0" indent="0" algn="l"/>
          <a:endParaRPr lang="en-IN" sz="1100">
            <a:solidFill>
              <a:schemeClr val="dk1"/>
            </a:solidFill>
            <a:latin typeface="+mn-lt"/>
            <a:ea typeface="+mn-ea"/>
            <a:cs typeface="+mn-cs"/>
          </a:endParaRPr>
        </a:p>
      </xdr:txBody>
    </xdr:sp>
    <xdr:clientData/>
  </xdr:twoCellAnchor>
  <xdr:twoCellAnchor editAs="absolute">
    <xdr:from>
      <xdr:col>0</xdr:col>
      <xdr:colOff>209550</xdr:colOff>
      <xdr:row>17</xdr:row>
      <xdr:rowOff>47126</xdr:rowOff>
    </xdr:from>
    <xdr:to>
      <xdr:col>2</xdr:col>
      <xdr:colOff>323850</xdr:colOff>
      <xdr:row>18</xdr:row>
      <xdr:rowOff>152400</xdr:rowOff>
    </xdr:to>
    <xdr:sp macro="" textlink="'Pivot Table'!B16">
      <xdr:nvSpPr>
        <xdr:cNvPr id="14" name="Rectangle: Rounded Corners 13">
          <a:extLst>
            <a:ext uri="{FF2B5EF4-FFF2-40B4-BE49-F238E27FC236}">
              <a16:creationId xmlns:a16="http://schemas.microsoft.com/office/drawing/2014/main" id="{72FCA9D0-628E-4956-814D-F6DFDABBFB1C}"/>
            </a:ext>
          </a:extLst>
        </xdr:cNvPr>
        <xdr:cNvSpPr/>
      </xdr:nvSpPr>
      <xdr:spPr>
        <a:xfrm>
          <a:off x="209550" y="3177676"/>
          <a:ext cx="1333500" cy="289424"/>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262E1304-5A81-4D65-899F-00599CA13F95}" type="TxLink">
            <a:rPr lang="en-US" sz="1600" b="0" i="0" u="none" strike="noStrike">
              <a:solidFill>
                <a:schemeClr val="accent6">
                  <a:lumMod val="75000"/>
                </a:schemeClr>
              </a:solidFill>
              <a:latin typeface="Bahnschrift" panose="020B0502040204020203" pitchFamily="34" charset="0"/>
              <a:ea typeface="Calibri"/>
              <a:cs typeface="Calibri"/>
            </a:rPr>
            <a:pPr marL="0" indent="0" algn="ctr"/>
            <a:t>35.88</a:t>
          </a:fld>
          <a:endParaRPr lang="en-IN" sz="1600" b="0" i="0" u="none" strike="noStrike">
            <a:solidFill>
              <a:schemeClr val="accent6">
                <a:lumMod val="75000"/>
              </a:schemeClr>
            </a:solidFill>
            <a:latin typeface="Bahnschrift" panose="020B0502040204020203" pitchFamily="34" charset="0"/>
            <a:ea typeface="Calibri"/>
            <a:cs typeface="Calibri"/>
          </a:endParaRPr>
        </a:p>
      </xdr:txBody>
    </xdr:sp>
    <xdr:clientData/>
  </xdr:twoCellAnchor>
  <xdr:twoCellAnchor editAs="absolute">
    <xdr:from>
      <xdr:col>0</xdr:col>
      <xdr:colOff>304074</xdr:colOff>
      <xdr:row>19</xdr:row>
      <xdr:rowOff>8413</xdr:rowOff>
    </xdr:from>
    <xdr:to>
      <xdr:col>2</xdr:col>
      <xdr:colOff>254000</xdr:colOff>
      <xdr:row>20</xdr:row>
      <xdr:rowOff>19050</xdr:rowOff>
    </xdr:to>
    <xdr:sp macro="" textlink="">
      <xdr:nvSpPr>
        <xdr:cNvPr id="15" name="Rectangle: Rounded Corners 14">
          <a:extLst>
            <a:ext uri="{FF2B5EF4-FFF2-40B4-BE49-F238E27FC236}">
              <a16:creationId xmlns:a16="http://schemas.microsoft.com/office/drawing/2014/main" id="{C11C6AA7-5E91-6EAD-6B4B-8E7D6140E6C0}"/>
            </a:ext>
          </a:extLst>
        </xdr:cNvPr>
        <xdr:cNvSpPr/>
      </xdr:nvSpPr>
      <xdr:spPr>
        <a:xfrm>
          <a:off x="304074" y="3507263"/>
          <a:ext cx="1169126" cy="194787"/>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IN" sz="1100" b="0" i="0" u="none" strike="noStrike">
              <a:solidFill>
                <a:schemeClr val="accent6">
                  <a:lumMod val="75000"/>
                </a:schemeClr>
              </a:solidFill>
              <a:latin typeface="Calibri"/>
              <a:ea typeface="Calibri"/>
              <a:cs typeface="Calibri"/>
            </a:rPr>
            <a:t>Avg</a:t>
          </a:r>
          <a:r>
            <a:rPr lang="en-IN" sz="1100" b="0" i="0" u="none" strike="noStrike" baseline="0">
              <a:solidFill>
                <a:schemeClr val="accent6">
                  <a:lumMod val="75000"/>
                </a:schemeClr>
              </a:solidFill>
              <a:latin typeface="Calibri"/>
              <a:ea typeface="Calibri"/>
              <a:cs typeface="Calibri"/>
            </a:rPr>
            <a:t> Patient WT</a:t>
          </a:r>
        </a:p>
        <a:p>
          <a:pPr marL="0" indent="0" algn="ctr"/>
          <a:endParaRPr lang="en-IN" sz="1100" b="0" i="0" u="none" strike="noStrike" baseline="0">
            <a:solidFill>
              <a:schemeClr val="accent6">
                <a:lumMod val="75000"/>
              </a:schemeClr>
            </a:solidFill>
            <a:latin typeface="Calibri"/>
            <a:ea typeface="Calibri"/>
            <a:cs typeface="Calibri"/>
          </a:endParaRPr>
        </a:p>
        <a:p>
          <a:pPr marL="0" indent="0" algn="ctr"/>
          <a:endParaRPr lang="en-IN" sz="1100" b="0" i="0" u="none" strike="noStrike">
            <a:solidFill>
              <a:schemeClr val="accent6">
                <a:lumMod val="75000"/>
              </a:schemeClr>
            </a:solidFill>
            <a:latin typeface="Calibri"/>
            <a:ea typeface="Calibri"/>
            <a:cs typeface="Calibri"/>
          </a:endParaRPr>
        </a:p>
      </xdr:txBody>
    </xdr:sp>
    <xdr:clientData/>
  </xdr:twoCellAnchor>
  <xdr:twoCellAnchor>
    <xdr:from>
      <xdr:col>0</xdr:col>
      <xdr:colOff>127000</xdr:colOff>
      <xdr:row>8</xdr:row>
      <xdr:rowOff>177800</xdr:rowOff>
    </xdr:from>
    <xdr:to>
      <xdr:col>2</xdr:col>
      <xdr:colOff>349250</xdr:colOff>
      <xdr:row>11</xdr:row>
      <xdr:rowOff>120650</xdr:rowOff>
    </xdr:to>
    <xdr:graphicFrame macro="">
      <xdr:nvGraphicFramePr>
        <xdr:cNvPr id="16" name="Chart 15">
          <a:extLst>
            <a:ext uri="{FF2B5EF4-FFF2-40B4-BE49-F238E27FC236}">
              <a16:creationId xmlns:a16="http://schemas.microsoft.com/office/drawing/2014/main" id="{3B89F928-BA08-4457-9162-51A97498A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152400</xdr:colOff>
      <xdr:row>14</xdr:row>
      <xdr:rowOff>127000</xdr:rowOff>
    </xdr:from>
    <xdr:to>
      <xdr:col>2</xdr:col>
      <xdr:colOff>361950</xdr:colOff>
      <xdr:row>17</xdr:row>
      <xdr:rowOff>69850</xdr:rowOff>
    </xdr:to>
    <xdr:graphicFrame macro="">
      <xdr:nvGraphicFramePr>
        <xdr:cNvPr id="17" name="Chart 16">
          <a:extLst>
            <a:ext uri="{FF2B5EF4-FFF2-40B4-BE49-F238E27FC236}">
              <a16:creationId xmlns:a16="http://schemas.microsoft.com/office/drawing/2014/main" id="{F07998DA-3EC0-43BD-8E6F-E06D0FA07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444500</xdr:colOff>
      <xdr:row>8</xdr:row>
      <xdr:rowOff>146050</xdr:rowOff>
    </xdr:from>
    <xdr:to>
      <xdr:col>8</xdr:col>
      <xdr:colOff>279400</xdr:colOff>
      <xdr:row>19</xdr:row>
      <xdr:rowOff>152400</xdr:rowOff>
    </xdr:to>
    <xdr:graphicFrame macro="">
      <xdr:nvGraphicFramePr>
        <xdr:cNvPr id="19" name="Chart 18">
          <a:extLst>
            <a:ext uri="{FF2B5EF4-FFF2-40B4-BE49-F238E27FC236}">
              <a16:creationId xmlns:a16="http://schemas.microsoft.com/office/drawing/2014/main" id="{8CC98C4C-2F8D-461C-BA91-6AF22BA7B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xdr:col>
      <xdr:colOff>450124</xdr:colOff>
      <xdr:row>19</xdr:row>
      <xdr:rowOff>66095</xdr:rowOff>
    </xdr:from>
    <xdr:to>
      <xdr:col>7</xdr:col>
      <xdr:colOff>323850</xdr:colOff>
      <xdr:row>20</xdr:row>
      <xdr:rowOff>82551</xdr:rowOff>
    </xdr:to>
    <xdr:sp macro="" textlink="">
      <xdr:nvSpPr>
        <xdr:cNvPr id="20" name="Rectangle: Rounded Corners 19">
          <a:extLst>
            <a:ext uri="{FF2B5EF4-FFF2-40B4-BE49-F238E27FC236}">
              <a16:creationId xmlns:a16="http://schemas.microsoft.com/office/drawing/2014/main" id="{C45579F5-3CC3-69ED-015B-E24E597301D5}"/>
            </a:ext>
          </a:extLst>
        </xdr:cNvPr>
        <xdr:cNvSpPr/>
      </xdr:nvSpPr>
      <xdr:spPr>
        <a:xfrm>
          <a:off x="2278924" y="3564945"/>
          <a:ext cx="2312126" cy="200606"/>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IN" sz="1100" b="0" i="0" u="none" strike="noStrike">
              <a:solidFill>
                <a:schemeClr val="accent6">
                  <a:lumMod val="75000"/>
                </a:schemeClr>
              </a:solidFill>
              <a:latin typeface="Calibri"/>
              <a:ea typeface="Calibri"/>
              <a:cs typeface="Calibri"/>
            </a:rPr>
            <a:t> Patients</a:t>
          </a:r>
          <a:r>
            <a:rPr lang="en-IN" sz="1100" b="0" i="0" u="none" strike="noStrike" baseline="0">
              <a:solidFill>
                <a:schemeClr val="accent6">
                  <a:lumMod val="75000"/>
                </a:schemeClr>
              </a:solidFill>
              <a:latin typeface="Calibri"/>
              <a:ea typeface="Calibri"/>
              <a:cs typeface="Calibri"/>
            </a:rPr>
            <a:t> Age Group Wise</a:t>
          </a:r>
        </a:p>
        <a:p>
          <a:pPr marL="0" indent="0" algn="ctr"/>
          <a:endParaRPr lang="en-IN" sz="1100" b="0" i="0" u="none" strike="noStrike">
            <a:solidFill>
              <a:schemeClr val="accent6">
                <a:lumMod val="75000"/>
              </a:schemeClr>
            </a:solidFill>
            <a:latin typeface="Calibri"/>
            <a:ea typeface="Calibri"/>
            <a:cs typeface="Calibri"/>
          </a:endParaRPr>
        </a:p>
      </xdr:txBody>
    </xdr:sp>
    <xdr:clientData/>
  </xdr:twoCellAnchor>
  <xdr:twoCellAnchor>
    <xdr:from>
      <xdr:col>8</xdr:col>
      <xdr:colOff>349250</xdr:colOff>
      <xdr:row>5</xdr:row>
      <xdr:rowOff>19050</xdr:rowOff>
    </xdr:from>
    <xdr:to>
      <xdr:col>11</xdr:col>
      <xdr:colOff>596900</xdr:colOff>
      <xdr:row>12</xdr:row>
      <xdr:rowOff>57150</xdr:rowOff>
    </xdr:to>
    <xdr:graphicFrame macro="">
      <xdr:nvGraphicFramePr>
        <xdr:cNvPr id="21" name="Chart 20">
          <a:extLst>
            <a:ext uri="{FF2B5EF4-FFF2-40B4-BE49-F238E27FC236}">
              <a16:creationId xmlns:a16="http://schemas.microsoft.com/office/drawing/2014/main" id="{679EA3B2-4E4F-4A26-AA7B-1B7C4D443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381000</xdr:colOff>
      <xdr:row>12</xdr:row>
      <xdr:rowOff>177800</xdr:rowOff>
    </xdr:from>
    <xdr:to>
      <xdr:col>12</xdr:col>
      <xdr:colOff>228600</xdr:colOff>
      <xdr:row>21</xdr:row>
      <xdr:rowOff>19050</xdr:rowOff>
    </xdr:to>
    <xdr:graphicFrame macro="">
      <xdr:nvGraphicFramePr>
        <xdr:cNvPr id="24" name="Chart 23">
          <a:extLst>
            <a:ext uri="{FF2B5EF4-FFF2-40B4-BE49-F238E27FC236}">
              <a16:creationId xmlns:a16="http://schemas.microsoft.com/office/drawing/2014/main" id="{E58662D9-5B4A-4C1A-83CF-BF57B06C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425450</xdr:colOff>
      <xdr:row>5</xdr:row>
      <xdr:rowOff>76200</xdr:rowOff>
    </xdr:from>
    <xdr:to>
      <xdr:col>17</xdr:col>
      <xdr:colOff>406400</xdr:colOff>
      <xdr:row>19</xdr:row>
      <xdr:rowOff>146050</xdr:rowOff>
    </xdr:to>
    <xdr:graphicFrame macro="">
      <xdr:nvGraphicFramePr>
        <xdr:cNvPr id="26" name="Chart 25">
          <a:extLst>
            <a:ext uri="{FF2B5EF4-FFF2-40B4-BE49-F238E27FC236}">
              <a16:creationId xmlns:a16="http://schemas.microsoft.com/office/drawing/2014/main" id="{7549B074-E7AB-476B-AB82-3F28BFE3F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469900</xdr:colOff>
          <xdr:row>4</xdr:row>
          <xdr:rowOff>38101</xdr:rowOff>
        </xdr:from>
        <xdr:to>
          <xdr:col>8</xdr:col>
          <xdr:colOff>261951</xdr:colOff>
          <xdr:row>7</xdr:row>
          <xdr:rowOff>127000</xdr:rowOff>
        </xdr:to>
        <xdr:pic>
          <xdr:nvPicPr>
            <xdr:cNvPr id="28" name="Picture 27">
              <a:extLst>
                <a:ext uri="{FF2B5EF4-FFF2-40B4-BE49-F238E27FC236}">
                  <a16:creationId xmlns:a16="http://schemas.microsoft.com/office/drawing/2014/main" id="{FDA8293D-60D6-41DD-8859-DF5F7A80326B}"/>
                </a:ext>
              </a:extLst>
            </xdr:cNvPr>
            <xdr:cNvPicPr>
              <a:picLocks noChangeAspect="1" noChangeArrowheads="1"/>
              <a:extLst>
                <a:ext uri="{84589F7E-364E-4C9E-8A38-B11213B215E9}">
                  <a14:cameraTool cellRange="'Pivot Table'!$B$45:$E$47" spid="_x0000_s3075"/>
                </a:ext>
              </a:extLst>
            </xdr:cNvPicPr>
          </xdr:nvPicPr>
          <xdr:blipFill>
            <a:blip xmlns:r="http://schemas.openxmlformats.org/officeDocument/2006/relationships" r:embed="rId11"/>
            <a:srcRect/>
            <a:stretch>
              <a:fillRect/>
            </a:stretch>
          </xdr:blipFill>
          <xdr:spPr bwMode="auto">
            <a:xfrm>
              <a:off x="1689100" y="774701"/>
              <a:ext cx="3449651" cy="64134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2060185" createdVersion="5" refreshedVersion="8" minRefreshableVersion="3" recordCount="0" supportSubquery="1" supportAdvancedDrill="1" xr:uid="{83F080DA-3545-46D1-83BB-C18FCCFE428F}">
  <cacheSource type="external" connectionId="3"/>
  <cacheFields count="3">
    <cacheField name="[Measures].[Count of Patient Id]" caption="Count of Patient Id" numFmtId="0" hierarchy="27" level="32767"/>
    <cacheField name="[Calender 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 Table].[Date (Month)].[Date (Month)]" caption="Date (Month)" numFmtId="0" hierarchy="3" level="1">
      <sharedItems containsSemiMixedTypes="0" containsNonDate="0" containsString="0"/>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2638885" createdVersion="5" refreshedVersion="8" minRefreshableVersion="3" recordCount="0" supportSubquery="1" supportAdvancedDrill="1" xr:uid="{D1263D27-3DDF-4A11-BA6E-4C1143F0FFB7}">
  <cacheSource type="external" connectionId="3"/>
  <cacheFields count="2">
    <cacheField name="[Measures].[Distinct Count of Patient Id]" caption="Distinct Count of Patient Id" numFmtId="0" hierarchy="28" level="32767"/>
    <cacheField name="[Calender Table].[Date (Month)].[Date (Month)]" caption="Date (Month)" numFmtId="0" hierarchy="3" level="1">
      <sharedItems containsSemiMixedTypes="0" containsNonDate="0" containsString="0"/>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2986109" createdVersion="5" refreshedVersion="8" minRefreshableVersion="3" recordCount="0" supportSubquery="1" supportAdvancedDrill="1" xr:uid="{80E8F369-F796-47ED-9115-E03606FD5B8A}">
  <cacheSource type="external" connectionId="3"/>
  <cacheFields count="2">
    <cacheField name="[Measures].[Average of Patient Satisfaction Score]" caption="Average of Patient Satisfaction Score" numFmtId="0" hierarchy="33" level="32767"/>
    <cacheField name="[Calender Table].[Date (Month)].[Date (Month)]" caption="Date (Month)" numFmtId="0" hierarchy="3" level="1">
      <sharedItems containsSemiMixedTypes="0" containsNonDate="0" containsString="0"/>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4606479" createdVersion="5" refreshedVersion="8" minRefreshableVersion="3" recordCount="0" supportSubquery="1" supportAdvancedDrill="1" xr:uid="{C01863C8-FE95-441D-9243-08B0E0F439EE}">
  <cacheSource type="external" connectionId="3"/>
  <cacheFields count="2">
    <cacheField name="[Measures].[Average of Patient Waittime]" caption="Average of Patient Waittime" numFmtId="0" hierarchy="32" level="32767"/>
    <cacheField name="[Calender Table].[Date (Month)].[Date (Month)]" caption="Date (Month)" numFmtId="0" hierarchy="3" level="1">
      <sharedItems containsSemiMixedTypes="0" containsNonDate="0" containsString="0"/>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6574072" createdVersion="5" refreshedVersion="8" minRefreshableVersion="3" recordCount="0" supportSubquery="1" supportAdvancedDrill="1" xr:uid="{478DFC80-D139-44EA-800F-D83A48D7C130}">
  <cacheSource type="external" connectionId="3"/>
  <cacheFields count="3">
    <cacheField name="[Calender Table].[Date (Day)].[Date (Day)]" caption="Date (Day)" numFmtId="0" hierarchy="4"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1-Jun" u="1"/>
      </sharedItems>
    </cacheField>
    <cacheField name="[Calender Table].[Date (Month)].[Date (Month)]" caption="Date (Month)" numFmtId="0" hierarchy="3" level="1">
      <sharedItems containsSemiMixedTypes="0" containsNonDate="0" containsString="0"/>
    </cacheField>
    <cacheField name="[Measures].[Average of Patient Satisfaction Score]" caption="Average of Patient Satisfaction Score" numFmtId="0" hierarchy="33" level="32767"/>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7384258" createdVersion="5" refreshedVersion="8" minRefreshableVersion="3" recordCount="0" supportSubquery="1" supportAdvancedDrill="1" xr:uid="{51BF3BEC-4D85-4C23-8DA6-1B4EE9CBA7F9}">
  <cacheSource type="external" connectionId="3"/>
  <cacheFields count="3">
    <cacheField name="[Calender Table].[Date (Day)].[Date (Day)]" caption="Date (Day)" numFmtId="0" hierarchy="4"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1-Jun" u="1"/>
      </sharedItems>
    </cacheField>
    <cacheField name="[Calender Table].[Date (Month)].[Date (Month)]" caption="Date (Month)" numFmtId="0" hierarchy="3" level="1">
      <sharedItems containsSemiMixedTypes="0" containsNonDate="0" containsString="0"/>
    </cacheField>
    <cacheField name="[Measures].[Average of Patient Waittime]" caption="Average of Patient Waittime" numFmtId="0" hierarchy="32" level="32767"/>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38194443" createdVersion="5" refreshedVersion="8" minRefreshableVersion="3" recordCount="0" supportSubquery="1" supportAdvancedDrill="1" xr:uid="{DBC23C8E-2DA3-4A64-85FD-123D2E07B710}">
  <cacheSource type="external" connectionId="3"/>
  <cacheFields count="4">
    <cacheField name="[Calender 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5" level="32767"/>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40046298" createdVersion="5" refreshedVersion="8" minRefreshableVersion="3" recordCount="0" supportSubquery="1" supportAdvancedDrill="1" xr:uid="{7580D4A1-3819-4AE1-B90E-398D222C8625}">
  <cacheSource type="external" connectionId="3"/>
  <cacheFields count="3">
    <cacheField name="[Calender Table].[Date (Month)].[Date (Month)]" caption="Date (Month)" numFmtId="0" hierarchy="3" level="1">
      <sharedItems containsSemiMixedTypes="0" containsNonDate="0" containsString="0"/>
    </cacheField>
    <cacheField name="[Hospital Emergency Room Data].[Patient Age Group Wise].[Patient Age Group Wise]" caption="Patient Age Group Wise" numFmtId="0" hierarchy="16" level="1">
      <sharedItems count="8">
        <s v="0-10"/>
        <s v="10-20"/>
        <s v="20-30"/>
        <s v="30-40"/>
        <s v="40-50"/>
        <s v="50-60"/>
        <s v="60-70"/>
        <s v="70-80"/>
      </sharedItems>
    </cacheField>
    <cacheField name="[Measures].[Count of Patient Age Group Wise]" caption="Count of Patient Age Group Wise" numFmtId="0" hierarchy="36" level="32767"/>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2" memberValueDatatype="130" unbalanced="0">
      <fieldsUsage count="2">
        <fieldUsage x="-1"/>
        <fieldUsage x="1"/>
      </fieldsUsage>
    </cacheHierarchy>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42245369" createdVersion="5" refreshedVersion="8" minRefreshableVersion="3" recordCount="0" supportSubquery="1" supportAdvancedDrill="1" xr:uid="{51D9758A-35F5-4E21-BA43-630E00E1F247}">
  <cacheSource type="external" connectionId="3"/>
  <cacheFields count="3">
    <cacheField name="[Calender Table].[Date (Month)].[Date (Month)]" caption="Date (Month)" numFmtId="0" hierarchy="3" level="1">
      <sharedItems containsSemiMixedTypes="0" containsNonDate="0" containsString="0"/>
    </cacheField>
    <cacheField name="[Measures].[Count of Patient Age Group Wise]" caption="Count of Patient Age Group Wise" numFmtId="0" hierarchy="36" level="32767"/>
    <cacheField name="[Hospital Emergency Room Data].[Delay/On Time].[Delay/On Time]" caption="Delay/On Time" numFmtId="0" hierarchy="17" level="1">
      <sharedItems count="2">
        <s v="Delay"/>
        <s v="On Time"/>
      </sharedItems>
    </cacheField>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2" memberValueDatatype="130" unbalanced="0">
      <fieldsUsage count="2">
        <fieldUsage x="-1"/>
        <fieldUsage x="2"/>
      </fieldsUsage>
    </cacheHierarchy>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44444447" createdVersion="5" refreshedVersion="8" minRefreshableVersion="3" recordCount="0" supportSubquery="1" supportAdvancedDrill="1" xr:uid="{35D99AE6-1591-4AF0-9AF7-AFDB2D17502A}">
  <cacheSource type="external" connectionId="3"/>
  <cacheFields count="3">
    <cacheField name="[Calender 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3.866046296294" createdVersion="5" refreshedVersion="8" minRefreshableVersion="3" recordCount="0" supportSubquery="1" supportAdvancedDrill="1" xr:uid="{6AC7B826-533F-4B89-99CA-81B61243DF5C}">
  <cacheSource type="external" connectionId="3"/>
  <cacheFields count="3">
    <cacheField name="[Calender 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s>
  <cacheHierarchies count="3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112.807926967595" createdVersion="3" refreshedVersion="8" minRefreshableVersion="3" recordCount="0" supportSubquery="1" supportAdvancedDrill="1" xr:uid="{53C2906C-A95B-43AA-9976-61BBC1A6CFA8}">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Wise]" caption="Patient Age Group Wise" attribute="1" defaultMemberUniqueName="[Hospital Emergency Room Data].[Patient Age Group Wise].[All]" allUniqueName="[Hospital Emergency Room Data].[Patient Age Group Wise].[All]" dimensionUniqueName="[Hospital Emergency Room Data]" displayFolder="" count="0" memberValueDatatype="130" unbalanced="0"/>
    <cacheHierarchy uniqueName="[Hospital Emergency Room Data].[Delay/On Time]" caption="Delay/On Time" attribute="1" defaultMemberUniqueName="[Hospital Emergency Room Data].[Delay/On Time].[All]" allUniqueName="[Hospital Emergency Room Data].[Delay/On Time].[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elay/On Time]" caption="Count of Delay/On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Wise]" caption="Count of Patient Age Group Wise"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551217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B3D81-0FA9-40A3-A41B-06939A74180F}" name="PivotTable2" cacheId="2" applyNumberFormats="0" applyBorderFormats="0" applyFontFormats="0" applyPatternFormats="0" applyAlignmentFormats="0" applyWidthHeightFormats="1" dataCaption="Values" tag="b0836c3b-a402-4275-ae23-24b35639927c" updatedVersion="8" minRefreshableVersion="3" useAutoFormatting="1" subtotalHiddenItems="1" itemPrintTitles="1" createdVersion="5"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0">
      <pivotArea outline="0" collapsedLevelsAreSubtotals="1" fieldPosition="0"/>
    </format>
  </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54017-2007-4357-990D-F72E0148D0C1}" name="PivotTable5" cacheId="0" applyNumberFormats="0" applyBorderFormats="0" applyFontFormats="0" applyPatternFormats="0" applyAlignmentFormats="0" applyWidthHeightFormats="1" dataCaption="Values" showMissing="0" tag="d51d8d3b-5922-4c18-8d94-adf73f5e805a" updatedVersion="8" minRefreshableVersion="3" subtotalHiddenItems="1" rowGrandTotals="0" colGrandTotals="0" itemPrintTitles="1" createdVersion="5" indent="0" outline="1" outlineData="1" multipleFieldFilters="0" chartFormat="20">
  <location ref="D4:E35"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Count of Patient Id" fld="0" subtotal="count" baseField="0" baseItem="0"/>
  </dataFields>
  <chartFormats count="1">
    <chartFormat chart="16" format="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4836FD-B69F-455C-A215-BA53B4E389C4}" name="PivotTable6" cacheId="5" applyNumberFormats="0" applyBorderFormats="0" applyFontFormats="0" applyPatternFormats="0" applyAlignmentFormats="0" applyWidthHeightFormats="1" dataCaption="Values" showMissing="0" tag="d51d8d3b-5922-4c18-8d94-adf73f5e805a" updatedVersion="8" minRefreshableVersion="3" subtotalHiddenItems="1" rowGrandTotals="0" colGrandTotals="0" itemPrintTitles="1" createdVersion="5" indent="0" outline="1" outlineData="1" multipleFieldFilters="0" chartFormat="21">
  <location ref="J4:K35"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Waittime" fld="2" subtotal="average" baseField="0" baseItem="0" numFmtId="2"/>
  </dataFields>
  <formats count="3">
    <format dxfId="3">
      <pivotArea collapsedLevelsAreSubtotals="1" fieldPosition="0">
        <references count="1">
          <reference field="0" count="1">
            <x v="31"/>
          </reference>
        </references>
      </pivotArea>
    </format>
    <format dxfId="2">
      <pivotArea outline="0" collapsedLevelsAreSubtotals="1" fieldPosition="0"/>
    </format>
    <format dxfId="1">
      <pivotArea outline="0" fieldPosition="0">
        <references count="1">
          <reference field="4294967294" count="1">
            <x v="0"/>
          </reference>
        </references>
      </pivotArea>
    </format>
  </formats>
  <chartFormats count="3">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0A52A7-B3A7-4810-ABB8-CC2475A3E389}" name="PivotTable7" cacheId="6" applyNumberFormats="0" applyBorderFormats="0" applyFontFormats="0" applyPatternFormats="0" applyAlignmentFormats="0" applyWidthHeightFormats="1" dataCaption="Values" tag="3e0b757e-b04d-4099-ac33-5c264a0d4887" updatedVersion="8" minRefreshableVersion="3" useAutoFormatting="1" subtotalHiddenItems="1" itemPrintTitles="1" createdVersion="5" indent="0" outline="1" outlineData="1" multipleFieldFilters="0" chartFormat="2">
  <location ref="B38:D4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1" baseItem="0" numFmtId="164">
      <extLst>
        <ext xmlns:x14="http://schemas.microsoft.com/office/spreadsheetml/2009/9/main" uri="{E15A36E0-9728-4e99-A89B-3F7291B0FE68}">
          <x14:dataField sourceField="2" uniqueName="[__Xl2].[Measures].[Count of Patient Admission Flag]"/>
        </ext>
      </extLst>
    </dataField>
  </dataFields>
  <formats count="2">
    <format dxfId="5">
      <pivotArea outline="0" collapsedLevelsAreSubtotals="1" fieldPosition="0"/>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02ABE-5249-4D6A-A3CE-53922741ECD1}" name="PivotTable8" cacheId="7" applyNumberFormats="0" applyBorderFormats="0" applyFontFormats="0" applyPatternFormats="0" applyAlignmentFormats="0" applyWidthHeightFormats="1" dataCaption="Values" tag="9fb7656d-ad99-4029-ac79-76024c35f7d2" updatedVersion="8" minRefreshableVersion="3" useAutoFormatting="1" subtotalHiddenItems="1" itemPrintTitles="1" createdVersion="5" indent="0" outline="1" outlineData="1" multipleFieldFilters="0" chartFormat="8">
  <location ref="B51:C6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Age Group Wise" fld="2" subtotal="count" baseField="1" baseItem="1" numFmtId="1"/>
  </dataFields>
  <formats count="2">
    <format dxfId="7">
      <pivotArea outline="0" collapsedLevelsAreSubtotals="1" fieldPosition="0"/>
    </format>
    <format dxfId="6">
      <pivotArea outline="0" fieldPosition="0">
        <references count="1">
          <reference field="4294967294" count="1">
            <x v="0"/>
          </reference>
        </references>
      </pivotArea>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B634A-0F87-48C6-9487-B0F8470394EE}" name="PivotTable11" cacheId="10" applyNumberFormats="0" applyBorderFormats="0" applyFontFormats="0" applyPatternFormats="0" applyAlignmentFormats="0" applyWidthHeightFormats="1" dataCaption="Values" tag="ba717e45-2b2b-4714-9d8d-91cc0ec90eee" updatedVersion="8" minRefreshableVersion="3" useAutoFormatting="1" subtotalHiddenItems="1" itemPrintTitles="1" createdVersion="5" indent="0" outline="1" outlineData="1" multipleFieldFilters="0" chartFormat="19">
  <location ref="B78:C8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3"/>
    </i>
    <i>
      <x v="1"/>
    </i>
    <i>
      <x v="6"/>
    </i>
    <i>
      <x/>
    </i>
    <i>
      <x v="5"/>
    </i>
    <i>
      <x v="2"/>
    </i>
    <i>
      <x v="4"/>
    </i>
    <i t="grand">
      <x/>
    </i>
  </rowItems>
  <colItems count="1">
    <i/>
  </colItems>
  <dataFields count="1">
    <dataField name="Count of Department Referral" fld="2" subtotal="count" baseField="1" baseItem="4" numFmtId="1"/>
  </dataFields>
  <formats count="2">
    <format dxfId="9">
      <pivotArea outline="0" collapsedLevelsAreSubtotals="1" fieldPosition="0"/>
    </format>
    <format dxfId="8">
      <pivotArea outline="0" fieldPosition="0">
        <references count="1">
          <reference field="4294967294"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F1CBFE-D73B-47ED-827D-52095BD20958}" name="PivotTable10" cacheId="9" applyNumberFormats="0" applyBorderFormats="0" applyFontFormats="0" applyPatternFormats="0" applyAlignmentFormats="0" applyWidthHeightFormats="1" dataCaption="Values" tag="9be17be2-37bc-47de-a8e4-e294d2c01fbb" updatedVersion="8" minRefreshableVersion="3" useAutoFormatting="1" subtotalHiddenItems="1" itemPrintTitles="1" createdVersion="5" indent="0" outline="1" outlineData="1" multipleFieldFilters="0" chartFormat="17">
  <location ref="B71:C7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9">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257B71-42E4-43DE-AA69-92D8AEB89A0C}" name="PivotTable4" cacheId="4" applyNumberFormats="0" applyBorderFormats="0" applyFontFormats="0" applyPatternFormats="0" applyAlignmentFormats="0" applyWidthHeightFormats="1" dataCaption="Values" showMissing="0" tag="d51d8d3b-5922-4c18-8d94-adf73f5e805a" updatedVersion="8" minRefreshableVersion="3" subtotalHiddenItems="1" rowGrandTotals="0" colGrandTotals="0" itemPrintTitles="1" createdVersion="5" indent="0" outline="1" outlineData="1" multipleFieldFilters="0" chartFormat="27">
  <location ref="G4:H35"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Satisfaction Score" fld="2" subtotal="average" baseField="0" baseItem="3" numFmtId="2"/>
  </dataFields>
  <formats count="2">
    <format dxfId="12">
      <pivotArea collapsedLevelsAreSubtotals="1" fieldPosition="0">
        <references count="1">
          <reference field="0" count="1">
            <x v="31"/>
          </reference>
        </references>
      </pivotArea>
    </format>
    <format dxfId="11">
      <pivotArea outline="0" collapsedLevelsAreSubtotals="1" fieldPosition="0"/>
    </format>
  </formats>
  <chartFormats count="1">
    <chartFormat chart="21"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6DC400-2D01-44FE-AD6C-F0ADDF127092}" name="PivotTable9" cacheId="8" applyNumberFormats="0" applyBorderFormats="0" applyFontFormats="0" applyPatternFormats="0" applyAlignmentFormats="0" applyWidthHeightFormats="1" dataCaption="Values" tag="8dace6dc-98b7-47ab-806a-f04ebc98264e" updatedVersion="8" minRefreshableVersion="3" useAutoFormatting="1" subtotalHiddenItems="1" itemPrintTitles="1" createdVersion="5" indent="0" outline="1" outlineData="1" multipleFieldFilters="0" chartFormat="12">
  <location ref="B64:C6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Age Group Wise" fld="1" subtotal="count" baseField="0" baseItem="0" numFmtId="1"/>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 chart="11" format="12">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53E114-669A-4246-A593-E3CE35E777EB}" name="PivotTable1" cacheId="1" applyNumberFormats="0" applyBorderFormats="0" applyFontFormats="0" applyPatternFormats="0" applyAlignmentFormats="0" applyWidthHeightFormats="1" dataCaption="Values" tag="707e0284-a6fc-4763-a747-992444117ec2" updatedVersion="8" minRefreshableVersion="3" subtotalHiddenItems="1" itemPrintTitles="1" createdVersion="5"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A117FA-8E0B-48BA-B622-7647B83E40B9}" name="PivotTable3" cacheId="3" applyNumberFormats="0" applyBorderFormats="0" applyFontFormats="0" applyPatternFormats="0" applyAlignmentFormats="0" applyWidthHeightFormats="1" dataCaption="Values" tag="b98fbd61-fda8-4710-bf99-6897493a48b2" updatedVersion="8" minRefreshableVersion="3" useAutoFormatting="1" subtotalHiddenItems="1" itemPrintTitles="1" createdVersion="5"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9">
    <pivotHierarchy dragToData="1"/>
    <pivotHierarchy dragToData="1"/>
    <pivotHierarchy dragToData="1"/>
    <pivotHierarchy multipleItemSelectionAllowed="1" dragToData="1">
      <members count="1" level="1">
        <member name="[Calender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32BE2B-00C9-406C-B5DE-D0E1FCA34D46}" sourceName="[Calender 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s>
  <data>
    <olap pivotCacheId="1255121707">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E01228E-3E96-49EB-8747-CFE47BAE7CB6}" cache="Slicer_Date__Month" caption="Date (Month)" columnCount="6"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9205-7937-4DEC-9C77-708407D09FDF}">
  <dimension ref="A4:K87"/>
  <sheetViews>
    <sheetView topLeftCell="A28" workbookViewId="0">
      <selection activeCell="B46" sqref="B46:E47"/>
    </sheetView>
  </sheetViews>
  <sheetFormatPr defaultRowHeight="14.4" x14ac:dyDescent="0.3"/>
  <cols>
    <col min="2" max="2" width="15.33203125" bestFit="1" customWidth="1"/>
    <col min="3" max="3" width="26.33203125" bestFit="1" customWidth="1"/>
    <col min="4" max="5" width="29.109375" bestFit="1" customWidth="1"/>
    <col min="7" max="7" width="12.5546875" bestFit="1" customWidth="1"/>
    <col min="8" max="8" width="32.44140625" bestFit="1" customWidth="1"/>
    <col min="10" max="10" width="12.5546875" bestFit="1" customWidth="1"/>
    <col min="11" max="11" width="32.44140625" bestFit="1" customWidth="1"/>
  </cols>
  <sheetData>
    <row r="4" spans="2:11" x14ac:dyDescent="0.3">
      <c r="B4" t="s">
        <v>3</v>
      </c>
      <c r="D4" s="1" t="s">
        <v>0</v>
      </c>
      <c r="E4" t="s">
        <v>2</v>
      </c>
      <c r="G4" s="1" t="s">
        <v>0</v>
      </c>
      <c r="H4" t="s">
        <v>5</v>
      </c>
      <c r="J4" s="1" t="s">
        <v>0</v>
      </c>
      <c r="K4" t="s">
        <v>4</v>
      </c>
    </row>
    <row r="5" spans="2:11" x14ac:dyDescent="0.3">
      <c r="B5">
        <v>506</v>
      </c>
      <c r="D5" s="2" t="s">
        <v>37</v>
      </c>
      <c r="E5">
        <v>19</v>
      </c>
      <c r="G5" s="2" t="s">
        <v>37</v>
      </c>
      <c r="H5" s="3">
        <v>7.2</v>
      </c>
      <c r="J5" s="2" t="s">
        <v>37</v>
      </c>
      <c r="K5" s="3">
        <v>34.526315789473685</v>
      </c>
    </row>
    <row r="6" spans="2:11" x14ac:dyDescent="0.3">
      <c r="D6" s="2" t="s">
        <v>38</v>
      </c>
      <c r="E6">
        <v>24</v>
      </c>
      <c r="G6" s="2" t="s">
        <v>38</v>
      </c>
      <c r="H6" s="3">
        <v>6</v>
      </c>
      <c r="J6" s="2" t="s">
        <v>38</v>
      </c>
      <c r="K6" s="3">
        <v>33.708333333333336</v>
      </c>
    </row>
    <row r="7" spans="2:11" x14ac:dyDescent="0.3">
      <c r="D7" s="2" t="s">
        <v>39</v>
      </c>
      <c r="E7">
        <v>24</v>
      </c>
      <c r="G7" s="2" t="s">
        <v>39</v>
      </c>
      <c r="H7" s="3">
        <v>1.5</v>
      </c>
      <c r="J7" s="2" t="s">
        <v>39</v>
      </c>
      <c r="K7" s="3">
        <v>36.291666666666664</v>
      </c>
    </row>
    <row r="8" spans="2:11" x14ac:dyDescent="0.3">
      <c r="D8" s="2" t="s">
        <v>40</v>
      </c>
      <c r="E8">
        <v>14</v>
      </c>
      <c r="G8" s="2" t="s">
        <v>40</v>
      </c>
      <c r="H8" s="3">
        <v>2.75</v>
      </c>
      <c r="J8" s="2" t="s">
        <v>40</v>
      </c>
      <c r="K8" s="3">
        <v>35.071428571428569</v>
      </c>
    </row>
    <row r="9" spans="2:11" x14ac:dyDescent="0.3">
      <c r="D9" s="2" t="s">
        <v>41</v>
      </c>
      <c r="E9">
        <v>14</v>
      </c>
      <c r="G9" s="2" t="s">
        <v>41</v>
      </c>
      <c r="H9" s="3">
        <v>5</v>
      </c>
      <c r="J9" s="2" t="s">
        <v>41</v>
      </c>
      <c r="K9" s="3">
        <v>31.571428571428573</v>
      </c>
    </row>
    <row r="10" spans="2:11" x14ac:dyDescent="0.3">
      <c r="B10" t="s">
        <v>5</v>
      </c>
      <c r="D10" s="2" t="s">
        <v>42</v>
      </c>
      <c r="E10">
        <v>16</v>
      </c>
      <c r="G10" s="2" t="s">
        <v>42</v>
      </c>
      <c r="H10" s="3">
        <v>5.5</v>
      </c>
      <c r="J10" s="2" t="s">
        <v>42</v>
      </c>
      <c r="K10" s="3">
        <v>31.8125</v>
      </c>
    </row>
    <row r="11" spans="2:11" x14ac:dyDescent="0.3">
      <c r="B11" s="3">
        <v>5.3277310924369745</v>
      </c>
      <c r="D11" s="2" t="s">
        <v>43</v>
      </c>
      <c r="E11">
        <v>26</v>
      </c>
      <c r="G11" s="2" t="s">
        <v>43</v>
      </c>
      <c r="H11" s="3">
        <v>5.0909090909090908</v>
      </c>
      <c r="J11" s="2" t="s">
        <v>43</v>
      </c>
      <c r="K11" s="3">
        <v>36.846153846153847</v>
      </c>
    </row>
    <row r="12" spans="2:11" x14ac:dyDescent="0.3">
      <c r="D12" s="2" t="s">
        <v>44</v>
      </c>
      <c r="E12">
        <v>14</v>
      </c>
      <c r="G12" s="2" t="s">
        <v>44</v>
      </c>
      <c r="H12" s="3">
        <v>7.666666666666667</v>
      </c>
      <c r="J12" s="2" t="s">
        <v>44</v>
      </c>
      <c r="K12" s="3">
        <v>34.071428571428569</v>
      </c>
    </row>
    <row r="13" spans="2:11" x14ac:dyDescent="0.3">
      <c r="D13" s="2" t="s">
        <v>45</v>
      </c>
      <c r="E13">
        <v>22</v>
      </c>
      <c r="G13" s="2" t="s">
        <v>45</v>
      </c>
      <c r="H13" s="3">
        <v>3.5</v>
      </c>
      <c r="J13" s="2" t="s">
        <v>45</v>
      </c>
      <c r="K13" s="3">
        <v>33</v>
      </c>
    </row>
    <row r="14" spans="2:11" x14ac:dyDescent="0.3">
      <c r="D14" s="2" t="s">
        <v>46</v>
      </c>
      <c r="E14">
        <v>18</v>
      </c>
      <c r="G14" s="2" t="s">
        <v>46</v>
      </c>
      <c r="H14" s="3">
        <v>3.6666666666666665</v>
      </c>
      <c r="J14" s="2" t="s">
        <v>46</v>
      </c>
      <c r="K14" s="3">
        <v>40.222222222222221</v>
      </c>
    </row>
    <row r="15" spans="2:11" x14ac:dyDescent="0.3">
      <c r="B15" t="s">
        <v>4</v>
      </c>
      <c r="D15" s="2" t="s">
        <v>47</v>
      </c>
      <c r="E15">
        <v>20</v>
      </c>
      <c r="G15" s="2" t="s">
        <v>47</v>
      </c>
      <c r="H15" s="3">
        <v>3.8</v>
      </c>
      <c r="J15" s="2" t="s">
        <v>47</v>
      </c>
      <c r="K15" s="3">
        <v>42.05</v>
      </c>
    </row>
    <row r="16" spans="2:11" x14ac:dyDescent="0.3">
      <c r="B16" s="3">
        <v>35.879446640316203</v>
      </c>
      <c r="D16" s="2" t="s">
        <v>48</v>
      </c>
      <c r="E16">
        <v>13</v>
      </c>
      <c r="G16" s="2" t="s">
        <v>48</v>
      </c>
      <c r="H16" s="3">
        <v>1</v>
      </c>
      <c r="J16" s="2" t="s">
        <v>48</v>
      </c>
      <c r="K16" s="3">
        <v>42.615384615384613</v>
      </c>
    </row>
    <row r="17" spans="1:11" x14ac:dyDescent="0.3">
      <c r="D17" s="2" t="s">
        <v>49</v>
      </c>
      <c r="E17">
        <v>13</v>
      </c>
      <c r="G17" s="2" t="s">
        <v>49</v>
      </c>
      <c r="H17" s="3">
        <v>7</v>
      </c>
      <c r="J17" s="2" t="s">
        <v>49</v>
      </c>
      <c r="K17" s="3">
        <v>40.46153846153846</v>
      </c>
    </row>
    <row r="18" spans="1:11" x14ac:dyDescent="0.3">
      <c r="D18" s="2" t="s">
        <v>50</v>
      </c>
      <c r="E18">
        <v>14</v>
      </c>
      <c r="G18" s="2" t="s">
        <v>50</v>
      </c>
      <c r="H18" s="3">
        <v>5</v>
      </c>
      <c r="J18" s="2" t="s">
        <v>50</v>
      </c>
      <c r="K18" s="3">
        <v>34.071428571428569</v>
      </c>
    </row>
    <row r="19" spans="1:11" x14ac:dyDescent="0.3">
      <c r="D19" s="2" t="s">
        <v>51</v>
      </c>
      <c r="E19">
        <v>13</v>
      </c>
      <c r="G19" s="2" t="s">
        <v>51</v>
      </c>
      <c r="H19" s="3">
        <v>4.25</v>
      </c>
      <c r="J19" s="2" t="s">
        <v>51</v>
      </c>
      <c r="K19" s="3">
        <v>33.92307692307692</v>
      </c>
    </row>
    <row r="20" spans="1:11" x14ac:dyDescent="0.3">
      <c r="D20" s="2" t="s">
        <v>52</v>
      </c>
      <c r="E20">
        <v>18</v>
      </c>
      <c r="G20" s="2" t="s">
        <v>52</v>
      </c>
      <c r="H20" s="3">
        <v>4</v>
      </c>
      <c r="J20" s="2" t="s">
        <v>52</v>
      </c>
      <c r="K20" s="3">
        <v>43.166666666666664</v>
      </c>
    </row>
    <row r="21" spans="1:11" x14ac:dyDescent="0.3">
      <c r="D21" s="2" t="s">
        <v>53</v>
      </c>
      <c r="E21">
        <v>12</v>
      </c>
      <c r="G21" s="2" t="s">
        <v>53</v>
      </c>
      <c r="H21" s="3">
        <v>7.333333333333333</v>
      </c>
      <c r="J21" s="2" t="s">
        <v>53</v>
      </c>
      <c r="K21" s="3">
        <v>42.25</v>
      </c>
    </row>
    <row r="22" spans="1:11" x14ac:dyDescent="0.3">
      <c r="D22" s="2" t="s">
        <v>54</v>
      </c>
      <c r="E22">
        <v>11</v>
      </c>
      <c r="G22" s="2" t="s">
        <v>54</v>
      </c>
      <c r="H22" s="3">
        <v>9</v>
      </c>
      <c r="J22" s="2" t="s">
        <v>54</v>
      </c>
      <c r="K22" s="3">
        <v>44.090909090909093</v>
      </c>
    </row>
    <row r="23" spans="1:11" x14ac:dyDescent="0.3">
      <c r="A23" t="s">
        <v>6</v>
      </c>
      <c r="D23" s="2" t="s">
        <v>55</v>
      </c>
      <c r="E23">
        <v>14</v>
      </c>
      <c r="G23" s="2" t="s">
        <v>55</v>
      </c>
      <c r="H23" s="3">
        <v>5.25</v>
      </c>
      <c r="J23" s="2" t="s">
        <v>55</v>
      </c>
      <c r="K23" s="3">
        <v>39</v>
      </c>
    </row>
    <row r="24" spans="1:11" x14ac:dyDescent="0.3">
      <c r="D24" s="2" t="s">
        <v>56</v>
      </c>
      <c r="E24">
        <v>12</v>
      </c>
      <c r="G24" s="2" t="s">
        <v>56</v>
      </c>
      <c r="H24" s="3">
        <v>6.6</v>
      </c>
      <c r="J24" s="2" t="s">
        <v>56</v>
      </c>
      <c r="K24" s="3">
        <v>31.25</v>
      </c>
    </row>
    <row r="25" spans="1:11" x14ac:dyDescent="0.3">
      <c r="D25" s="2" t="s">
        <v>57</v>
      </c>
      <c r="E25">
        <v>16</v>
      </c>
      <c r="G25" s="2" t="s">
        <v>57</v>
      </c>
      <c r="H25" s="3">
        <v>6.25</v>
      </c>
      <c r="J25" s="2" t="s">
        <v>57</v>
      </c>
      <c r="K25" s="3">
        <v>28.5</v>
      </c>
    </row>
    <row r="26" spans="1:11" x14ac:dyDescent="0.3">
      <c r="D26" s="2" t="s">
        <v>58</v>
      </c>
      <c r="E26">
        <v>16</v>
      </c>
      <c r="G26" s="2" t="s">
        <v>58</v>
      </c>
      <c r="H26" s="3">
        <v>6.333333333333333</v>
      </c>
      <c r="J26" s="2" t="s">
        <v>58</v>
      </c>
      <c r="K26" s="3">
        <v>34.0625</v>
      </c>
    </row>
    <row r="27" spans="1:11" x14ac:dyDescent="0.3">
      <c r="D27" s="2" t="s">
        <v>59</v>
      </c>
      <c r="E27">
        <v>15</v>
      </c>
      <c r="G27" s="2" t="s">
        <v>59</v>
      </c>
      <c r="H27" s="3">
        <v>7</v>
      </c>
      <c r="J27" s="2" t="s">
        <v>59</v>
      </c>
      <c r="K27" s="3">
        <v>25.2</v>
      </c>
    </row>
    <row r="28" spans="1:11" x14ac:dyDescent="0.3">
      <c r="D28" s="2" t="s">
        <v>60</v>
      </c>
      <c r="E28">
        <v>22</v>
      </c>
      <c r="G28" s="2" t="s">
        <v>60</v>
      </c>
      <c r="H28" s="3">
        <v>5.666666666666667</v>
      </c>
      <c r="J28" s="2" t="s">
        <v>60</v>
      </c>
      <c r="K28" s="3">
        <v>35.863636363636367</v>
      </c>
    </row>
    <row r="29" spans="1:11" x14ac:dyDescent="0.3">
      <c r="D29" s="2" t="s">
        <v>61</v>
      </c>
      <c r="E29">
        <v>18</v>
      </c>
      <c r="G29" s="2" t="s">
        <v>61</v>
      </c>
      <c r="H29" s="3">
        <v>3.3333333333333335</v>
      </c>
      <c r="J29" s="2" t="s">
        <v>61</v>
      </c>
      <c r="K29" s="3">
        <v>39.833333333333336</v>
      </c>
    </row>
    <row r="30" spans="1:11" x14ac:dyDescent="0.3">
      <c r="D30" s="2" t="s">
        <v>62</v>
      </c>
      <c r="E30">
        <v>10</v>
      </c>
      <c r="G30" s="2" t="s">
        <v>62</v>
      </c>
      <c r="H30" s="3">
        <v>4.75</v>
      </c>
      <c r="J30" s="2" t="s">
        <v>62</v>
      </c>
      <c r="K30" s="3">
        <v>37</v>
      </c>
    </row>
    <row r="31" spans="1:11" x14ac:dyDescent="0.3">
      <c r="D31" s="2" t="s">
        <v>63</v>
      </c>
      <c r="E31">
        <v>17</v>
      </c>
      <c r="G31" s="2" t="s">
        <v>63</v>
      </c>
      <c r="H31" s="3">
        <v>2</v>
      </c>
      <c r="J31" s="2" t="s">
        <v>63</v>
      </c>
      <c r="K31" s="3">
        <v>39.411764705882355</v>
      </c>
    </row>
    <row r="32" spans="1:11" x14ac:dyDescent="0.3">
      <c r="D32" s="2" t="s">
        <v>64</v>
      </c>
      <c r="E32">
        <v>17</v>
      </c>
      <c r="G32" s="2" t="s">
        <v>64</v>
      </c>
      <c r="H32" s="3">
        <v>9.25</v>
      </c>
      <c r="J32" s="2" t="s">
        <v>64</v>
      </c>
      <c r="K32" s="3">
        <v>30.294117647058822</v>
      </c>
    </row>
    <row r="33" spans="2:11" x14ac:dyDescent="0.3">
      <c r="D33" s="2" t="s">
        <v>65</v>
      </c>
      <c r="E33">
        <v>12</v>
      </c>
      <c r="G33" s="2" t="s">
        <v>65</v>
      </c>
      <c r="H33" s="3">
        <v>2.6666666666666665</v>
      </c>
      <c r="J33" s="2" t="s">
        <v>65</v>
      </c>
      <c r="K33" s="3">
        <v>32.666666666666664</v>
      </c>
    </row>
    <row r="34" spans="2:11" x14ac:dyDescent="0.3">
      <c r="D34" s="2" t="s">
        <v>66</v>
      </c>
      <c r="E34">
        <v>14</v>
      </c>
      <c r="G34" s="2" t="s">
        <v>66</v>
      </c>
      <c r="H34" s="3">
        <v>4</v>
      </c>
      <c r="J34" s="2" t="s">
        <v>66</v>
      </c>
      <c r="K34" s="3">
        <v>30.571428571428573</v>
      </c>
    </row>
    <row r="35" spans="2:11" x14ac:dyDescent="0.3">
      <c r="D35" s="2" t="s">
        <v>67</v>
      </c>
      <c r="E35">
        <v>18</v>
      </c>
      <c r="G35" s="2" t="s">
        <v>67</v>
      </c>
      <c r="H35" s="3">
        <v>8.75</v>
      </c>
      <c r="J35" s="2" t="s">
        <v>67</v>
      </c>
      <c r="K35" s="3">
        <v>39.055555555555557</v>
      </c>
    </row>
    <row r="38" spans="2:11" x14ac:dyDescent="0.3">
      <c r="B38" s="1" t="s">
        <v>0</v>
      </c>
      <c r="C38" t="s">
        <v>9</v>
      </c>
      <c r="D38" t="s">
        <v>10</v>
      </c>
    </row>
    <row r="39" spans="2:11" x14ac:dyDescent="0.3">
      <c r="B39" s="2" t="s">
        <v>7</v>
      </c>
      <c r="C39" s="3">
        <v>253</v>
      </c>
      <c r="D39" s="4">
        <v>0.5</v>
      </c>
    </row>
    <row r="40" spans="2:11" x14ac:dyDescent="0.3">
      <c r="B40" s="2" t="s">
        <v>8</v>
      </c>
      <c r="C40" s="3">
        <v>253</v>
      </c>
      <c r="D40" s="4">
        <v>0.5</v>
      </c>
    </row>
    <row r="41" spans="2:11" x14ac:dyDescent="0.3">
      <c r="B41" s="2" t="s">
        <v>1</v>
      </c>
      <c r="C41" s="3">
        <v>506</v>
      </c>
      <c r="D41" s="4">
        <v>1</v>
      </c>
    </row>
    <row r="44" spans="2:11" ht="15" hidden="1" customHeight="1" x14ac:dyDescent="0.3"/>
    <row r="45" spans="2:11" ht="15.6" x14ac:dyDescent="0.3">
      <c r="B45" s="7" t="s">
        <v>11</v>
      </c>
      <c r="C45" s="7" t="s">
        <v>12</v>
      </c>
      <c r="D45" s="7" t="s">
        <v>13</v>
      </c>
      <c r="E45" s="8"/>
    </row>
    <row r="46" spans="2:11" ht="22.2" customHeight="1" x14ac:dyDescent="0.3">
      <c r="B46" s="9" t="str">
        <f t="shared" ref="B46:D47" si="0">B39</f>
        <v>Admitted</v>
      </c>
      <c r="C46" s="9">
        <f t="shared" si="0"/>
        <v>253</v>
      </c>
      <c r="D46" s="10">
        <f t="shared" si="0"/>
        <v>0.5</v>
      </c>
      <c r="E46" s="9"/>
    </row>
    <row r="47" spans="2:11" ht="26.4" customHeight="1" x14ac:dyDescent="0.3">
      <c r="B47" s="9" t="str">
        <f t="shared" si="0"/>
        <v>Not Admitted</v>
      </c>
      <c r="C47" s="9">
        <f t="shared" si="0"/>
        <v>253</v>
      </c>
      <c r="D47" s="10">
        <f t="shared" si="0"/>
        <v>0.5</v>
      </c>
      <c r="E47" s="9"/>
    </row>
    <row r="51" spans="2:3" x14ac:dyDescent="0.3">
      <c r="B51" s="1" t="s">
        <v>0</v>
      </c>
      <c r="C51" t="s">
        <v>22</v>
      </c>
    </row>
    <row r="52" spans="2:3" x14ac:dyDescent="0.3">
      <c r="B52" s="2" t="s">
        <v>14</v>
      </c>
      <c r="C52" s="5">
        <v>64</v>
      </c>
    </row>
    <row r="53" spans="2:3" x14ac:dyDescent="0.3">
      <c r="B53" s="2" t="s">
        <v>15</v>
      </c>
      <c r="C53" s="5">
        <v>66</v>
      </c>
    </row>
    <row r="54" spans="2:3" x14ac:dyDescent="0.3">
      <c r="B54" s="2" t="s">
        <v>16</v>
      </c>
      <c r="C54" s="5">
        <v>65</v>
      </c>
    </row>
    <row r="55" spans="2:3" x14ac:dyDescent="0.3">
      <c r="B55" s="2" t="s">
        <v>17</v>
      </c>
      <c r="C55" s="5">
        <v>73</v>
      </c>
    </row>
    <row r="56" spans="2:3" x14ac:dyDescent="0.3">
      <c r="B56" s="2" t="s">
        <v>18</v>
      </c>
      <c r="C56" s="5">
        <v>45</v>
      </c>
    </row>
    <row r="57" spans="2:3" x14ac:dyDescent="0.3">
      <c r="B57" s="2" t="s">
        <v>19</v>
      </c>
      <c r="C57" s="5">
        <v>72</v>
      </c>
    </row>
    <row r="58" spans="2:3" x14ac:dyDescent="0.3">
      <c r="B58" s="2" t="s">
        <v>20</v>
      </c>
      <c r="C58" s="5">
        <v>74</v>
      </c>
    </row>
    <row r="59" spans="2:3" x14ac:dyDescent="0.3">
      <c r="B59" s="2" t="s">
        <v>21</v>
      </c>
      <c r="C59" s="5">
        <v>47</v>
      </c>
    </row>
    <row r="60" spans="2:3" x14ac:dyDescent="0.3">
      <c r="B60" s="2" t="s">
        <v>1</v>
      </c>
      <c r="C60" s="5">
        <v>506</v>
      </c>
    </row>
    <row r="64" spans="2:3" x14ac:dyDescent="0.3">
      <c r="B64" s="1" t="s">
        <v>0</v>
      </c>
      <c r="C64" t="s">
        <v>22</v>
      </c>
    </row>
    <row r="65" spans="2:3" x14ac:dyDescent="0.3">
      <c r="B65" s="2" t="s">
        <v>24</v>
      </c>
      <c r="C65" s="5">
        <v>312</v>
      </c>
    </row>
    <row r="66" spans="2:3" x14ac:dyDescent="0.3">
      <c r="B66" s="2" t="s">
        <v>23</v>
      </c>
      <c r="C66" s="5">
        <v>194</v>
      </c>
    </row>
    <row r="67" spans="2:3" x14ac:dyDescent="0.3">
      <c r="B67" s="2" t="s">
        <v>1</v>
      </c>
      <c r="C67" s="5">
        <v>506</v>
      </c>
    </row>
    <row r="71" spans="2:3" x14ac:dyDescent="0.3">
      <c r="B71" s="1" t="s">
        <v>0</v>
      </c>
      <c r="C71" t="s">
        <v>27</v>
      </c>
    </row>
    <row r="72" spans="2:3" x14ac:dyDescent="0.3">
      <c r="B72" s="2" t="s">
        <v>25</v>
      </c>
      <c r="C72" s="3">
        <v>231</v>
      </c>
    </row>
    <row r="73" spans="2:3" x14ac:dyDescent="0.3">
      <c r="B73" s="2" t="s">
        <v>26</v>
      </c>
      <c r="C73" s="3">
        <v>275</v>
      </c>
    </row>
    <row r="74" spans="2:3" x14ac:dyDescent="0.3">
      <c r="B74" s="2" t="s">
        <v>1</v>
      </c>
      <c r="C74" s="3">
        <v>506</v>
      </c>
    </row>
    <row r="78" spans="2:3" x14ac:dyDescent="0.3">
      <c r="B78" s="1" t="s">
        <v>0</v>
      </c>
      <c r="C78" t="s">
        <v>36</v>
      </c>
    </row>
    <row r="79" spans="2:3" x14ac:dyDescent="0.3">
      <c r="B79" s="2" t="s">
        <v>35</v>
      </c>
      <c r="C79" s="5">
        <v>3</v>
      </c>
    </row>
    <row r="80" spans="2:3" x14ac:dyDescent="0.3">
      <c r="B80" s="2" t="s">
        <v>31</v>
      </c>
      <c r="C80" s="5">
        <v>5</v>
      </c>
    </row>
    <row r="81" spans="2:3" x14ac:dyDescent="0.3">
      <c r="B81" s="2" t="s">
        <v>29</v>
      </c>
      <c r="C81" s="5">
        <v>6</v>
      </c>
    </row>
    <row r="82" spans="2:3" x14ac:dyDescent="0.3">
      <c r="B82" s="2" t="s">
        <v>34</v>
      </c>
      <c r="C82" s="5">
        <v>14</v>
      </c>
    </row>
    <row r="83" spans="2:3" x14ac:dyDescent="0.3">
      <c r="B83" s="2" t="s">
        <v>28</v>
      </c>
      <c r="C83" s="5">
        <v>15</v>
      </c>
    </row>
    <row r="84" spans="2:3" x14ac:dyDescent="0.3">
      <c r="B84" s="2" t="s">
        <v>33</v>
      </c>
      <c r="C84" s="5">
        <v>59</v>
      </c>
    </row>
    <row r="85" spans="2:3" x14ac:dyDescent="0.3">
      <c r="B85" s="2" t="s">
        <v>30</v>
      </c>
      <c r="C85" s="5">
        <v>93</v>
      </c>
    </row>
    <row r="86" spans="2:3" x14ac:dyDescent="0.3">
      <c r="B86" s="2" t="s">
        <v>32</v>
      </c>
      <c r="C86" s="5">
        <v>311</v>
      </c>
    </row>
    <row r="87" spans="2:3" x14ac:dyDescent="0.3">
      <c r="B87" s="2" t="s">
        <v>1</v>
      </c>
      <c r="C87" s="5">
        <v>506</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EB83-CFB0-4F85-8B20-393E652E532D}">
  <dimension ref="A1:R21"/>
  <sheetViews>
    <sheetView tabSelected="1" zoomScale="120" zoomScaleNormal="120" workbookViewId="0">
      <selection activeCell="R5" sqref="R5"/>
    </sheetView>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93E6DB6-11B2-4BA2-A027-C2F0EE98C88E}">
  <ds:schemaRefs/>
</ds:datastoreItem>
</file>

<file path=customXml/itemProps2.xml><?xml version="1.0" encoding="utf-8"?>
<ds:datastoreItem xmlns:ds="http://schemas.openxmlformats.org/officeDocument/2006/customXml" ds:itemID="{F0E6AC7A-6A11-473A-9E49-D8097834B345}">
  <ds:schemaRefs/>
</ds:datastoreItem>
</file>

<file path=customXml/itemProps3.xml><?xml version="1.0" encoding="utf-8"?>
<ds:datastoreItem xmlns:ds="http://schemas.openxmlformats.org/officeDocument/2006/customXml" ds:itemID="{AACF302A-87CF-4FDD-9BAB-1BAFB11C8C76}">
  <ds:schemaRefs/>
</ds:datastoreItem>
</file>

<file path=customXml/itemProps4.xml><?xml version="1.0" encoding="utf-8"?>
<ds:datastoreItem xmlns:ds="http://schemas.openxmlformats.org/officeDocument/2006/customXml" ds:itemID="{716F655E-1549-487E-800D-989F3B3EBDD3}">
  <ds:schemaRefs/>
</ds:datastoreItem>
</file>

<file path=customXml/itemProps5.xml><?xml version="1.0" encoding="utf-8"?>
<ds:datastoreItem xmlns:ds="http://schemas.openxmlformats.org/officeDocument/2006/customXml" ds:itemID="{5DEBF34F-5733-40E4-9E47-19062D29BE6F}">
  <ds:schemaRefs/>
</ds:datastoreItem>
</file>

<file path=customXml/itemProps6.xml><?xml version="1.0" encoding="utf-8"?>
<ds:datastoreItem xmlns:ds="http://schemas.openxmlformats.org/officeDocument/2006/customXml" ds:itemID="{63F47B16-BDC7-4B4B-A86C-1F6A2E463752}">
  <ds:schemaRefs/>
</ds:datastoreItem>
</file>

<file path=customXml/itemProps7.xml><?xml version="1.0" encoding="utf-8"?>
<ds:datastoreItem xmlns:ds="http://schemas.openxmlformats.org/officeDocument/2006/customXml" ds:itemID="{E67BEE95-EC20-45AF-AC87-23A00942BE09}">
  <ds:schemaRefs/>
</ds:datastoreItem>
</file>

<file path=customXml/itemProps8.xml><?xml version="1.0" encoding="utf-8"?>
<ds:datastoreItem xmlns:ds="http://schemas.openxmlformats.org/officeDocument/2006/customXml" ds:itemID="{4C0BED65-2A78-4529-99E3-2E2E96E83ED1}">
  <ds:schemaRefs/>
</ds:datastoreItem>
</file>

<file path=customXml/itemProps9.xml><?xml version="1.0" encoding="utf-8"?>
<ds:datastoreItem xmlns:ds="http://schemas.openxmlformats.org/officeDocument/2006/customXml" ds:itemID="{3A3CB27E-F69C-4653-92EB-EFE036A2DB88}">
  <ds:schemaRefs>
    <ds:schemaRef ds:uri="http://schemas.microsoft.com/DataMashup"/>
  </ds:schemaRefs>
</ds:datastoreItem>
</file>

<file path=customXml/itemProps10.xml><?xml version="1.0" encoding="utf-8"?>
<ds:datastoreItem xmlns:ds="http://schemas.openxmlformats.org/officeDocument/2006/customXml" ds:itemID="{BF57C1DE-1B18-42E1-B2F1-CF4A6E834BAD}">
  <ds:schemaRefs/>
</ds:datastoreItem>
</file>

<file path=customXml/itemProps11.xml><?xml version="1.0" encoding="utf-8"?>
<ds:datastoreItem xmlns:ds="http://schemas.openxmlformats.org/officeDocument/2006/customXml" ds:itemID="{F4AD836D-81F7-4EE0-862A-CAE73E9A408C}">
  <ds:schemaRefs/>
</ds:datastoreItem>
</file>

<file path=customXml/itemProps12.xml><?xml version="1.0" encoding="utf-8"?>
<ds:datastoreItem xmlns:ds="http://schemas.openxmlformats.org/officeDocument/2006/customXml" ds:itemID="{DA3C7C08-7C61-4FFC-9D8C-5039A33508AC}">
  <ds:schemaRefs/>
</ds:datastoreItem>
</file>

<file path=customXml/itemProps13.xml><?xml version="1.0" encoding="utf-8"?>
<ds:datastoreItem xmlns:ds="http://schemas.openxmlformats.org/officeDocument/2006/customXml" ds:itemID="{0B3D0EA2-20B9-499B-B852-B2FF42614A2D}">
  <ds:schemaRefs/>
</ds:datastoreItem>
</file>

<file path=customXml/itemProps14.xml><?xml version="1.0" encoding="utf-8"?>
<ds:datastoreItem xmlns:ds="http://schemas.openxmlformats.org/officeDocument/2006/customXml" ds:itemID="{455164A7-1AC0-42AE-8253-3A5F00A90309}">
  <ds:schemaRefs/>
</ds:datastoreItem>
</file>

<file path=customXml/itemProps15.xml><?xml version="1.0" encoding="utf-8"?>
<ds:datastoreItem xmlns:ds="http://schemas.openxmlformats.org/officeDocument/2006/customXml" ds:itemID="{5173580F-74CF-4989-A32D-B9D44ADA64DF}">
  <ds:schemaRefs/>
</ds:datastoreItem>
</file>

<file path=customXml/itemProps16.xml><?xml version="1.0" encoding="utf-8"?>
<ds:datastoreItem xmlns:ds="http://schemas.openxmlformats.org/officeDocument/2006/customXml" ds:itemID="{0CF73F26-8867-4AE1-A6BD-646FC7EA2557}">
  <ds:schemaRefs/>
</ds:datastoreItem>
</file>

<file path=customXml/itemProps17.xml><?xml version="1.0" encoding="utf-8"?>
<ds:datastoreItem xmlns:ds="http://schemas.openxmlformats.org/officeDocument/2006/customXml" ds:itemID="{11A964A8-E415-4859-A5C1-2052E7ACACDB}">
  <ds:schemaRefs/>
</ds:datastoreItem>
</file>

<file path=customXml/itemProps18.xml><?xml version="1.0" encoding="utf-8"?>
<ds:datastoreItem xmlns:ds="http://schemas.openxmlformats.org/officeDocument/2006/customXml" ds:itemID="{CB050CAD-7B59-4031-A578-37487A21EB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divyaabaghel1509@gmail.com</dc:creator>
  <cp:lastModifiedBy>divyaabaghel1509@gmail.com</cp:lastModifiedBy>
  <dcterms:created xsi:type="dcterms:W3CDTF">2026-03-28T12:25:31Z</dcterms:created>
  <dcterms:modified xsi:type="dcterms:W3CDTF">2026-04-01T18:35:40Z</dcterms:modified>
</cp:coreProperties>
</file>